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30430"/>
  <workbookPr/>
  <mc:AlternateContent xmlns:mc="http://schemas.openxmlformats.org/markup-compatibility/2006">
    <mc:Choice Requires="x15">
      <x15ac:absPath xmlns:x15ac="http://schemas.microsoft.com/office/spreadsheetml/2010/11/ac" url="C:\DevelUni\applifting-vsecourse\team-5\docs\vystupy\"/>
    </mc:Choice>
  </mc:AlternateContent>
  <xr:revisionPtr revIDLastSave="0" documentId="13_ncr:1_{00D54FDF-6C9B-4484-AB6A-14E885FD98EE}" xr6:coauthVersionLast="47" xr6:coauthVersionMax="47" xr10:uidLastSave="{00000000-0000-0000-0000-000000000000}"/>
  <bookViews>
    <workbookView xWindow="-120" yWindow="240" windowWidth="29040" windowHeight="15360" xr2:uid="{00000000-000D-0000-FFFF-FFFF00000000}"/>
  </bookViews>
  <sheets>
    <sheet name="Unit_Economics" sheetId="1" r:id="rId1"/>
    <sheet name="CAPEX" sheetId="2" r:id="rId2"/>
    <sheet name="Cashflow_36M" sheetId="3" r:id="rId3"/>
  </sheets>
  <calcPr calcId="191029"/>
  <extLs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calcChain.xml><?xml version="1.0" encoding="utf-8"?>
<calcChain xmlns="http://schemas.openxmlformats.org/spreadsheetml/2006/main">
  <c r="L37" i="3" l="1"/>
  <c r="K37" i="3"/>
  <c r="L36" i="3"/>
  <c r="K36" i="3"/>
  <c r="L35" i="3"/>
  <c r="K35" i="3"/>
  <c r="L34" i="3"/>
  <c r="K34" i="3"/>
  <c r="L33" i="3"/>
  <c r="K33" i="3"/>
  <c r="L32" i="3"/>
  <c r="K32" i="3"/>
  <c r="L31" i="3"/>
  <c r="K31" i="3"/>
  <c r="L30" i="3"/>
  <c r="K30" i="3"/>
  <c r="L29" i="3"/>
  <c r="K29" i="3"/>
  <c r="L28" i="3"/>
  <c r="K28" i="3"/>
  <c r="L27" i="3"/>
  <c r="K27" i="3"/>
  <c r="L26" i="3"/>
  <c r="K26" i="3"/>
  <c r="L25" i="3"/>
  <c r="K25" i="3"/>
  <c r="L24" i="3"/>
  <c r="K24" i="3"/>
  <c r="L23" i="3"/>
  <c r="K23" i="3"/>
  <c r="L22" i="3"/>
  <c r="K22" i="3"/>
  <c r="L21" i="3"/>
  <c r="K21" i="3"/>
  <c r="L20" i="3"/>
  <c r="K20" i="3"/>
  <c r="L19" i="3"/>
  <c r="K19" i="3"/>
  <c r="L18" i="3"/>
  <c r="K18" i="3"/>
  <c r="L17" i="3"/>
  <c r="K17" i="3"/>
  <c r="L16" i="3"/>
  <c r="K16" i="3"/>
  <c r="L15" i="3"/>
  <c r="K15" i="3"/>
  <c r="L14" i="3"/>
  <c r="K14" i="3"/>
  <c r="L13" i="3"/>
  <c r="K13" i="3"/>
  <c r="L12" i="3"/>
  <c r="K12" i="3"/>
  <c r="L11" i="3"/>
  <c r="K11" i="3"/>
  <c r="L10" i="3"/>
  <c r="K10" i="3"/>
  <c r="L9" i="3"/>
  <c r="K9" i="3"/>
  <c r="L8" i="3"/>
  <c r="K8" i="3"/>
  <c r="L7" i="3"/>
  <c r="K7" i="3"/>
  <c r="L6" i="3"/>
  <c r="K6" i="3"/>
  <c r="L5" i="3"/>
  <c r="K5" i="3"/>
  <c r="L4" i="3"/>
  <c r="K4" i="3"/>
  <c r="L3" i="3"/>
  <c r="K3" i="3"/>
  <c r="L2" i="3"/>
  <c r="K2" i="3"/>
  <c r="C2" i="3"/>
  <c r="C3" i="3" s="1"/>
  <c r="B31" i="1"/>
  <c r="B24" i="1"/>
  <c r="D6" i="2" s="1"/>
  <c r="D7" i="2" s="1"/>
  <c r="B15" i="1"/>
  <c r="B33" i="1" s="1"/>
  <c r="C13" i="1"/>
  <c r="B13" i="1"/>
  <c r="C12" i="1"/>
  <c r="B12" i="1"/>
  <c r="C11" i="1"/>
  <c r="B11" i="1"/>
  <c r="C10" i="1"/>
  <c r="B10" i="1"/>
  <c r="D12" i="1" l="1"/>
  <c r="D11" i="1"/>
  <c r="B32" i="1"/>
  <c r="D13" i="1"/>
  <c r="D10" i="1"/>
  <c r="C4" i="3"/>
  <c r="D3" i="3"/>
  <c r="F3" i="3" s="1"/>
  <c r="D2" i="3"/>
  <c r="F2" i="3" s="1"/>
  <c r="D4" i="3" l="1"/>
  <c r="F4" i="3"/>
  <c r="C5" i="3"/>
  <c r="J3" i="3"/>
  <c r="M3" i="3" s="1"/>
  <c r="N3" i="3"/>
  <c r="J2" i="3"/>
  <c r="M2" i="3" s="1"/>
  <c r="N2" i="3"/>
  <c r="O2" i="3" s="1"/>
  <c r="O3" i="3" s="1"/>
  <c r="J4" i="3" l="1"/>
  <c r="M4" i="3" s="1"/>
  <c r="N4" i="3" s="1"/>
  <c r="O4" i="3" s="1"/>
  <c r="C6" i="3"/>
  <c r="D5" i="3"/>
  <c r="F5" i="3" s="1"/>
  <c r="J5" i="3" l="1"/>
  <c r="M5" i="3" s="1"/>
  <c r="N5" i="3" s="1"/>
  <c r="O5" i="3" s="1"/>
  <c r="D6" i="3"/>
  <c r="F6" i="3" s="1"/>
  <c r="C7" i="3"/>
  <c r="J6" i="3" l="1"/>
  <c r="M6" i="3" s="1"/>
  <c r="N6" i="3" s="1"/>
  <c r="O6" i="3" s="1"/>
  <c r="C8" i="3"/>
  <c r="D7" i="3"/>
  <c r="F7" i="3" s="1"/>
  <c r="J7" i="3" l="1"/>
  <c r="M7" i="3" s="1"/>
  <c r="N7" i="3" s="1"/>
  <c r="O7" i="3" s="1"/>
  <c r="D8" i="3"/>
  <c r="F8" i="3" s="1"/>
  <c r="C9" i="3"/>
  <c r="J8" i="3" l="1"/>
  <c r="M8" i="3" s="1"/>
  <c r="N8" i="3" s="1"/>
  <c r="O8" i="3" s="1"/>
  <c r="D9" i="3"/>
  <c r="F9" i="3"/>
  <c r="C10" i="3"/>
  <c r="J9" i="3" l="1"/>
  <c r="M9" i="3" s="1"/>
  <c r="N9" i="3" s="1"/>
  <c r="O9" i="3" s="1"/>
  <c r="C11" i="3"/>
  <c r="D10" i="3"/>
  <c r="F10" i="3" s="1"/>
  <c r="J10" i="3" l="1"/>
  <c r="M10" i="3" s="1"/>
  <c r="N10" i="3"/>
  <c r="O10" i="3" s="1"/>
  <c r="C12" i="3"/>
  <c r="D11" i="3"/>
  <c r="F11" i="3" s="1"/>
  <c r="D12" i="3" l="1"/>
  <c r="F12" i="3" s="1"/>
  <c r="C13" i="3"/>
  <c r="J11" i="3"/>
  <c r="M11" i="3" s="1"/>
  <c r="N11" i="3" s="1"/>
  <c r="O11" i="3" s="1"/>
  <c r="J12" i="3" l="1"/>
  <c r="M12" i="3" s="1"/>
  <c r="N12" i="3" s="1"/>
  <c r="O12" i="3" s="1"/>
  <c r="D13" i="3"/>
  <c r="F13" i="3"/>
  <c r="C14" i="3"/>
  <c r="J13" i="3" l="1"/>
  <c r="M13" i="3" s="1"/>
  <c r="N13" i="3" s="1"/>
  <c r="O13" i="3" s="1"/>
  <c r="D14" i="3"/>
  <c r="C15" i="3"/>
  <c r="F14" i="3"/>
  <c r="D15" i="3" l="1"/>
  <c r="F15" i="3" s="1"/>
  <c r="C16" i="3"/>
  <c r="J14" i="3"/>
  <c r="M14" i="3" s="1"/>
  <c r="N14" i="3" s="1"/>
  <c r="O14" i="3" s="1"/>
  <c r="N15" i="3" l="1"/>
  <c r="O15" i="3" s="1"/>
  <c r="J15" i="3"/>
  <c r="M15" i="3" s="1"/>
  <c r="D16" i="3"/>
  <c r="F16" i="3" s="1"/>
  <c r="C17" i="3"/>
  <c r="J16" i="3" l="1"/>
  <c r="M16" i="3" s="1"/>
  <c r="N16" i="3" s="1"/>
  <c r="O16" i="3" s="1"/>
  <c r="C18" i="3"/>
  <c r="D17" i="3"/>
  <c r="F17" i="3"/>
  <c r="C19" i="3" l="1"/>
  <c r="D18" i="3"/>
  <c r="F18" i="3"/>
  <c r="J17" i="3"/>
  <c r="M17" i="3" s="1"/>
  <c r="N17" i="3" s="1"/>
  <c r="O17" i="3" s="1"/>
  <c r="D19" i="3" l="1"/>
  <c r="F19" i="3"/>
  <c r="C20" i="3"/>
  <c r="J18" i="3"/>
  <c r="M18" i="3" s="1"/>
  <c r="N18" i="3" s="1"/>
  <c r="O18" i="3" s="1"/>
  <c r="J19" i="3" l="1"/>
  <c r="M19" i="3" s="1"/>
  <c r="N19" i="3" s="1"/>
  <c r="O19" i="3" s="1"/>
  <c r="C21" i="3"/>
  <c r="D20" i="3"/>
  <c r="F20" i="3"/>
  <c r="D21" i="3" l="1"/>
  <c r="F21" i="3"/>
  <c r="C22" i="3"/>
  <c r="J20" i="3"/>
  <c r="M20" i="3" s="1"/>
  <c r="N20" i="3" s="1"/>
  <c r="O20" i="3" s="1"/>
  <c r="J21" i="3" l="1"/>
  <c r="M21" i="3" s="1"/>
  <c r="N21" i="3" s="1"/>
  <c r="O21" i="3" s="1"/>
  <c r="D22" i="3"/>
  <c r="F22" i="3"/>
  <c r="C23" i="3"/>
  <c r="J22" i="3" l="1"/>
  <c r="M22" i="3" s="1"/>
  <c r="N22" i="3" s="1"/>
  <c r="O22" i="3" s="1"/>
  <c r="D23" i="3"/>
  <c r="F23" i="3"/>
  <c r="C24" i="3"/>
  <c r="J23" i="3" l="1"/>
  <c r="M23" i="3" s="1"/>
  <c r="N23" i="3" s="1"/>
  <c r="O23" i="3" s="1"/>
  <c r="D24" i="3"/>
  <c r="F24" i="3"/>
  <c r="C25" i="3"/>
  <c r="J24" i="3" l="1"/>
  <c r="M24" i="3" s="1"/>
  <c r="N24" i="3"/>
  <c r="O24" i="3" s="1"/>
  <c r="D25" i="3"/>
  <c r="F25" i="3"/>
  <c r="C26" i="3"/>
  <c r="J25" i="3" l="1"/>
  <c r="M25" i="3" s="1"/>
  <c r="N25" i="3" s="1"/>
  <c r="O25" i="3" s="1"/>
  <c r="D26" i="3"/>
  <c r="F26" i="3"/>
  <c r="C27" i="3"/>
  <c r="J26" i="3" l="1"/>
  <c r="M26" i="3" s="1"/>
  <c r="N26" i="3" s="1"/>
  <c r="O26" i="3" s="1"/>
  <c r="C28" i="3"/>
  <c r="D27" i="3"/>
  <c r="F27" i="3" s="1"/>
  <c r="J27" i="3" l="1"/>
  <c r="M27" i="3" s="1"/>
  <c r="N27" i="3" s="1"/>
  <c r="O27" i="3" s="1"/>
  <c r="D28" i="3"/>
  <c r="F28" i="3"/>
  <c r="C29" i="3"/>
  <c r="J28" i="3" l="1"/>
  <c r="M28" i="3" s="1"/>
  <c r="N28" i="3" s="1"/>
  <c r="O28" i="3" s="1"/>
  <c r="D29" i="3"/>
  <c r="F29" i="3" s="1"/>
  <c r="C30" i="3"/>
  <c r="J29" i="3" l="1"/>
  <c r="M29" i="3" s="1"/>
  <c r="N29" i="3" s="1"/>
  <c r="O29" i="3" s="1"/>
  <c r="D30" i="3"/>
  <c r="F30" i="3" s="1"/>
  <c r="C31" i="3"/>
  <c r="J30" i="3" l="1"/>
  <c r="M30" i="3" s="1"/>
  <c r="N30" i="3" s="1"/>
  <c r="O30" i="3" s="1"/>
  <c r="D31" i="3"/>
  <c r="F31" i="3" s="1"/>
  <c r="C32" i="3"/>
  <c r="J31" i="3" l="1"/>
  <c r="M31" i="3" s="1"/>
  <c r="N31" i="3"/>
  <c r="O31" i="3" s="1"/>
  <c r="D32" i="3"/>
  <c r="F32" i="3" s="1"/>
  <c r="C33" i="3"/>
  <c r="J32" i="3" l="1"/>
  <c r="M32" i="3" s="1"/>
  <c r="N32" i="3" s="1"/>
  <c r="O32" i="3" s="1"/>
  <c r="D33" i="3"/>
  <c r="F33" i="3" s="1"/>
  <c r="C34" i="3"/>
  <c r="J33" i="3" l="1"/>
  <c r="M33" i="3" s="1"/>
  <c r="N33" i="3" s="1"/>
  <c r="O33" i="3" s="1"/>
  <c r="D34" i="3"/>
  <c r="F34" i="3"/>
  <c r="C35" i="3"/>
  <c r="J34" i="3" l="1"/>
  <c r="M34" i="3" s="1"/>
  <c r="N34" i="3" s="1"/>
  <c r="O34" i="3" s="1"/>
  <c r="D35" i="3"/>
  <c r="F35" i="3"/>
  <c r="C36" i="3"/>
  <c r="J35" i="3" l="1"/>
  <c r="M35" i="3" s="1"/>
  <c r="N35" i="3" s="1"/>
  <c r="O35" i="3" s="1"/>
  <c r="D36" i="3"/>
  <c r="F36" i="3" s="1"/>
  <c r="C37" i="3"/>
  <c r="J36" i="3" l="1"/>
  <c r="M36" i="3" s="1"/>
  <c r="N36" i="3" s="1"/>
  <c r="O36" i="3" s="1"/>
  <c r="D37" i="3"/>
  <c r="F37" i="3"/>
  <c r="J37" i="3" l="1"/>
  <c r="M37" i="3" s="1"/>
  <c r="N37" i="3" s="1"/>
  <c r="O37" i="3" s="1"/>
</calcChain>
</file>

<file path=xl/sharedStrings.xml><?xml version="1.0" encoding="utf-8"?>
<sst xmlns="http://schemas.openxmlformats.org/spreadsheetml/2006/main" count="147" uniqueCount="139">
  <si>
    <t>Parametr</t>
  </si>
  <si>
    <t>Hodnota</t>
  </si>
  <si>
    <t>Jednotka</t>
  </si>
  <si>
    <t>Poznámka</t>
  </si>
  <si>
    <t>Cena_za_aktivniho_klienta</t>
  </si>
  <si>
    <t>Kč / měsíc</t>
  </si>
  <si>
    <t>Trenér platí za každého aktivního klienta nad limit zdarma</t>
  </si>
  <si>
    <t>Klienti_zdarma</t>
  </si>
  <si>
    <t>klienti / trenér</t>
  </si>
  <si>
    <t>Vyzkoušení bez platby</t>
  </si>
  <si>
    <t>Strop_na_trenera</t>
  </si>
  <si>
    <t>Psí školy, strop platí od 34 aktivních klientů</t>
  </si>
  <si>
    <t>Cena_pro_psovoda</t>
  </si>
  <si>
    <t>Kč</t>
  </si>
  <si>
    <t>S trenérem i bez něj, i s více psy</t>
  </si>
  <si>
    <t>Prumer_klientu_na_trenera</t>
  </si>
  <si>
    <t>klienti</t>
  </si>
  <si>
    <t>Předpoklad pro pilot (respondentka má ~40 klientů)</t>
  </si>
  <si>
    <t>Prirazka_trenera_klientovi</t>
  </si>
  <si>
    <t>Návrh: kolik si trenér řekne klientovi za podporu mezi lekcemi</t>
  </si>
  <si>
    <t>Aktivních klientů</t>
  </si>
  <si>
    <t>Poplatek trenéra</t>
  </si>
  <si>
    <t>Příjem trenéra z přirážky</t>
  </si>
  <si>
    <t>Trenérovi zbyde</t>
  </si>
  <si>
    <t>ARPU</t>
  </si>
  <si>
    <t>Průměrný měsíční příjem na platícího trenéra (při B6 klientech)</t>
  </si>
  <si>
    <t>Aktivní klient = psovod propojený s trenérem, se kterým trenér v měsíci aspoň jednou pracoval v aplikaci (zadání, úprava plánu, záznam nebo zpráva).</t>
  </si>
  <si>
    <t>Náklady na vývoj a provoz</t>
  </si>
  <si>
    <t>Sazba_vyvojare</t>
  </si>
  <si>
    <t>Kč / h</t>
  </si>
  <si>
    <t>Junior vývojář na trhu. Sazbu potvrdit s Honzou (FB1).</t>
  </si>
  <si>
    <t>Clenove_tymu</t>
  </si>
  <si>
    <t>lidé</t>
  </si>
  <si>
    <t>Tým 5</t>
  </si>
  <si>
    <t>Hodiny_tydne_na_clena</t>
  </si>
  <si>
    <t>h / týden</t>
  </si>
  <si>
    <t>Odhad práce na projektu mimo výuku</t>
  </si>
  <si>
    <t>Tydny_vyvoje_MVP</t>
  </si>
  <si>
    <t>týdny</t>
  </si>
  <si>
    <t>Sprinty 2–6 po 2 týdnech</t>
  </si>
  <si>
    <t>Hodiny_vyvoje_MVP</t>
  </si>
  <si>
    <t>h</t>
  </si>
  <si>
    <t>Celkem do spuštění pilotu</t>
  </si>
  <si>
    <t>Udrzba_hodin_mesicne</t>
  </si>
  <si>
    <t>h / měsíc</t>
  </si>
  <si>
    <t>Opravy chyb, drobné úpravy, podpora trenérů</t>
  </si>
  <si>
    <t>Akvizice_na_trenera</t>
  </si>
  <si>
    <t>Kč / trenér</t>
  </si>
  <si>
    <t>Osobní schůzka a onboarding, 3 h × 500 Kč</t>
  </si>
  <si>
    <t>Odchod_treneru_mesicne</t>
  </si>
  <si>
    <t>% / měsíc</t>
  </si>
  <si>
    <t>Podíl platících trenérů, kteří za měsíc odejdou</t>
  </si>
  <si>
    <t>Poplatek_brany</t>
  </si>
  <si>
    <t>% z příjmů</t>
  </si>
  <si>
    <t>Platební brána pro předplatné trenéra</t>
  </si>
  <si>
    <t>Bod zvratu</t>
  </si>
  <si>
    <t>Fixní náklady v plném provozu</t>
  </si>
  <si>
    <t>Infrastruktura od M08 a údržba</t>
  </si>
  <si>
    <t>Trenérů na měsíční bod zvratu</t>
  </si>
  <si>
    <t>platících trenérů</t>
  </si>
  <si>
    <t>Při průměru B6 aktivních klientů na trenéra, bez nákladů na akvizici</t>
  </si>
  <si>
    <t>Návratnost akvizice trenéra</t>
  </si>
  <si>
    <t>měsíce</t>
  </si>
  <si>
    <t>Za kolik měsíců trenér zaplatí náklady na své získání</t>
  </si>
  <si>
    <t>Polozka</t>
  </si>
  <si>
    <t>Poskytovatel</t>
  </si>
  <si>
    <t>Typ_Platby</t>
  </si>
  <si>
    <t>Castka_CZK</t>
  </si>
  <si>
    <t>Poznamka</t>
  </si>
  <si>
    <t>Apple Developer Program</t>
  </si>
  <si>
    <t>Apple Inc.</t>
  </si>
  <si>
    <t>Roční poplatek</t>
  </si>
  <si>
    <t>Není potřeba pro responzivní webapp (výhledově pro nativní appku)</t>
  </si>
  <si>
    <t>Google Play Console</t>
  </si>
  <si>
    <t>Google LLC</t>
  </si>
  <si>
    <t>Jednorázový poplatek</t>
  </si>
  <si>
    <t>Doména a DNS (.cz / .app)</t>
  </si>
  <si>
    <t>Wedos / Cloudflare</t>
  </si>
  <si>
    <t>Včetně základního SSL</t>
  </si>
  <si>
    <t>VOP a GDPR šablony</t>
  </si>
  <si>
    <t>Open-source / Vzor</t>
  </si>
  <si>
    <t>Jednorázově</t>
  </si>
  <si>
    <t>Studentský pilot</t>
  </si>
  <si>
    <t>Vývoj MVP</t>
  </si>
  <si>
    <t>Hodiny_vyvoje_MVP × Sazba_vyvojare</t>
  </si>
  <si>
    <t>CELKEM_CAPEX</t>
  </si>
  <si>
    <t>Počáteční investice celkem</t>
  </si>
  <si>
    <t>Mesic</t>
  </si>
  <si>
    <t>Novi_Treneri</t>
  </si>
  <si>
    <t>Platici_Treneri</t>
  </si>
  <si>
    <t>Aktivni_Klienti</t>
  </si>
  <si>
    <t>Psovodi_Bez_Trenera</t>
  </si>
  <si>
    <t>Prijmy_Celkem</t>
  </si>
  <si>
    <t>Server_DB</t>
  </si>
  <si>
    <t>Frontend_API</t>
  </si>
  <si>
    <t>Notifikace</t>
  </si>
  <si>
    <t>Poplatky_Brany</t>
  </si>
  <si>
    <t>Udrzba_Vyvoj</t>
  </si>
  <si>
    <t>Akvizice_Treneru</t>
  </si>
  <si>
    <t>Naklady_Celkem</t>
  </si>
  <si>
    <t>Mesicni_Zisk</t>
  </si>
  <si>
    <t>Kumulativni_Cashflow</t>
  </si>
  <si>
    <t>M01</t>
  </si>
  <si>
    <t>M02</t>
  </si>
  <si>
    <t>M03</t>
  </si>
  <si>
    <t>M04</t>
  </si>
  <si>
    <t>M05</t>
  </si>
  <si>
    <t>M06</t>
  </si>
  <si>
    <t>M07</t>
  </si>
  <si>
    <t>M08</t>
  </si>
  <si>
    <t>M09</t>
  </si>
  <si>
    <t>M10</t>
  </si>
  <si>
    <t>M11</t>
  </si>
  <si>
    <t>M12</t>
  </si>
  <si>
    <t>M13</t>
  </si>
  <si>
    <t>M14</t>
  </si>
  <si>
    <t>M15</t>
  </si>
  <si>
    <t>M16</t>
  </si>
  <si>
    <t>M17</t>
  </si>
  <si>
    <t>M18</t>
  </si>
  <si>
    <t>M19</t>
  </si>
  <si>
    <t>M20</t>
  </si>
  <si>
    <t>M21</t>
  </si>
  <si>
    <t>M22</t>
  </si>
  <si>
    <t>M23</t>
  </si>
  <si>
    <t>M24</t>
  </si>
  <si>
    <t>M25</t>
  </si>
  <si>
    <t>M26</t>
  </si>
  <si>
    <t>M27</t>
  </si>
  <si>
    <t>M28</t>
  </si>
  <si>
    <t>M29</t>
  </si>
  <si>
    <t>M30</t>
  </si>
  <si>
    <t>M31</t>
  </si>
  <si>
    <t>M32</t>
  </si>
  <si>
    <t>M33</t>
  </si>
  <si>
    <t>M34</t>
  </si>
  <si>
    <t>M35</t>
  </si>
  <si>
    <t>M36</t>
  </si>
  <si>
    <t>M01 = spuštění pilotu po dokončení MVP (sprinty 2–6). Vývoj MVP je v CAPEX a na začátku snižuje kumulativní cashflow. M01–M03 je pilot zdarma, od M04 přibývají platící trenéři: 3 měsíčně do M12, 4 do M24, 5 do M36, odchod 3 % měsíčně. Příjmy = (aktivní klienti − 3 zdarma × platící trenéři) × 49 Kč, nejvýš strop 1 490 Kč na trenéra. Psovodi bez trenéra jsou zdarma, sloupec ukazuje zájem, ze kterého přicházejí trenéři. Všechny předpoklady jsou v listu Unit_Economics.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</si>
</sst>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3">
    <numFmt numFmtId="164" formatCode="_-* #,##0.00\ [$Kč-405]_-;\-* #,##0.00\ [$Kč-405]_-;_-* &quot;-&quot;??\ [$Kč-405]_-;_-@_-"/>
    <numFmt numFmtId="165" formatCode="_-* #,##0\ [$Kč-405]_-;\-* #,##0\ [$Kč-405]_-;_-* &quot;-&quot;??\ [$Kč-405]_-;_-@_-"/>
    <numFmt numFmtId="166" formatCode="0.0"/>
  </numFmts>
  <fonts count="5">
    <font>
      <sz val="11"/>
      <color theme="1"/>
      <name val="Aptos Narrow"/>
      <family val="2"/>
      <charset val="238"/>
      <scheme val="minor"/>
    </font>
    <font>
      <b/>
      <sz val="11"/>
      <color theme="1"/>
      <name val="Aptos Narrow"/>
      <family val="2"/>
      <scheme val="minor"/>
    </font>
    <font>
      <b/>
      <sz val="11"/>
      <name val="Aptos Narrow"/>
    </font>
    <font>
      <b/>
      <sz val="11"/>
      <name val="Aptos Narrow"/>
    </font>
    <font>
      <sz val="11"/>
      <name val="Aptos Narrow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2">
    <xf numFmtId="0" fontId="0" fillId="0" borderId="0" xfId="0"/>
    <xf numFmtId="9" fontId="0" fillId="0" borderId="0" xfId="0" applyNumberFormat="1"/>
    <xf numFmtId="164" fontId="0" fillId="0" borderId="0" xfId="0" applyNumberFormat="1"/>
    <xf numFmtId="0" fontId="1" fillId="0" borderId="0" xfId="0" applyFont="1"/>
    <xf numFmtId="0" fontId="2" fillId="0" borderId="0" xfId="0" applyFont="1"/>
    <xf numFmtId="164" fontId="2" fillId="0" borderId="0" xfId="0" applyNumberFormat="1" applyFont="1"/>
    <xf numFmtId="0" fontId="3" fillId="0" borderId="0" xfId="0" applyFont="1"/>
    <xf numFmtId="165" fontId="0" fillId="0" borderId="0" xfId="0" applyNumberFormat="1"/>
    <xf numFmtId="166" fontId="0" fillId="0" borderId="0" xfId="0" applyNumberFormat="1"/>
    <xf numFmtId="0" fontId="4" fillId="0" borderId="0" xfId="0" applyFont="1"/>
    <xf numFmtId="166" fontId="4" fillId="0" borderId="0" xfId="0" applyNumberFormat="1" applyFont="1"/>
    <xf numFmtId="165" fontId="4" fillId="0" borderId="0" xfId="0" applyNumberFormat="1" applyFont="1"/>
  </cellXfs>
  <cellStyles count="1">
    <cellStyle name="Normální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worksheet" Target="worksheets/sheet3.xml"/><Relationship Id="rId7" Type="http://schemas.openxmlformats.org/officeDocument/2006/relationships/calcChain" Target="calcChain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sharedStrings" Target="sharedStrings.xml"/><Relationship Id="rId5" Type="http://schemas.openxmlformats.org/officeDocument/2006/relationships/styles" Target="styles.xml"/><Relationship Id="rId4" Type="http://schemas.openxmlformats.org/officeDocument/2006/relationships/theme" Target="theme/theme1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D33"/>
  <sheetViews>
    <sheetView tabSelected="1" workbookViewId="0"/>
  </sheetViews>
  <sheetFormatPr defaultRowHeight="15"/>
  <cols>
    <col min="1" max="1" width="30" customWidth="1"/>
    <col min="2" max="2" width="18" customWidth="1"/>
    <col min="3" max="3" width="26" customWidth="1"/>
    <col min="4" max="4" width="62" customWidth="1"/>
  </cols>
  <sheetData>
    <row r="1" spans="1:4">
      <c r="A1" s="4" t="s">
        <v>0</v>
      </c>
      <c r="B1" s="4" t="s">
        <v>1</v>
      </c>
      <c r="C1" s="4" t="s">
        <v>2</v>
      </c>
      <c r="D1" s="4" t="s">
        <v>3</v>
      </c>
    </row>
    <row r="2" spans="1:4">
      <c r="A2" t="s">
        <v>4</v>
      </c>
      <c r="B2" s="2">
        <v>49</v>
      </c>
      <c r="C2" t="s">
        <v>5</v>
      </c>
      <c r="D2" t="s">
        <v>6</v>
      </c>
    </row>
    <row r="3" spans="1:4">
      <c r="A3" t="s">
        <v>7</v>
      </c>
      <c r="B3">
        <v>3</v>
      </c>
      <c r="C3" t="s">
        <v>8</v>
      </c>
      <c r="D3" t="s">
        <v>9</v>
      </c>
    </row>
    <row r="4" spans="1:4">
      <c r="A4" t="s">
        <v>10</v>
      </c>
      <c r="B4" s="2">
        <v>1490</v>
      </c>
      <c r="C4" t="s">
        <v>5</v>
      </c>
      <c r="D4" t="s">
        <v>11</v>
      </c>
    </row>
    <row r="5" spans="1:4">
      <c r="A5" t="s">
        <v>12</v>
      </c>
      <c r="B5" s="2">
        <v>0</v>
      </c>
      <c r="C5" t="s">
        <v>13</v>
      </c>
      <c r="D5" t="s">
        <v>14</v>
      </c>
    </row>
    <row r="6" spans="1:4">
      <c r="A6" t="s">
        <v>15</v>
      </c>
      <c r="B6">
        <v>15</v>
      </c>
      <c r="C6" t="s">
        <v>16</v>
      </c>
      <c r="D6" t="s">
        <v>17</v>
      </c>
    </row>
    <row r="7" spans="1:4">
      <c r="A7" t="s">
        <v>18</v>
      </c>
      <c r="B7" s="2">
        <v>100</v>
      </c>
      <c r="C7" t="s">
        <v>5</v>
      </c>
      <c r="D7" t="s">
        <v>19</v>
      </c>
    </row>
    <row r="9" spans="1:4">
      <c r="A9" s="4" t="s">
        <v>20</v>
      </c>
      <c r="B9" s="4" t="s">
        <v>21</v>
      </c>
      <c r="C9" s="4" t="s">
        <v>22</v>
      </c>
      <c r="D9" s="4" t="s">
        <v>23</v>
      </c>
    </row>
    <row r="10" spans="1:4">
      <c r="A10">
        <v>3</v>
      </c>
      <c r="B10" s="2">
        <f>MIN($B$4,MAX(0,A10-$B$3)*$B$2)</f>
        <v>0</v>
      </c>
      <c r="C10" s="2">
        <f>A10*$B$7</f>
        <v>300</v>
      </c>
      <c r="D10" s="2">
        <f>C10-B10</f>
        <v>300</v>
      </c>
    </row>
    <row r="11" spans="1:4">
      <c r="A11">
        <v>10</v>
      </c>
      <c r="B11" s="2">
        <f>MIN($B$4,MAX(0,A11-$B$3)*$B$2)</f>
        <v>343</v>
      </c>
      <c r="C11" s="2">
        <f>A11*$B$7</f>
        <v>1000</v>
      </c>
      <c r="D11" s="2">
        <f>C11-B11</f>
        <v>657</v>
      </c>
    </row>
    <row r="12" spans="1:4">
      <c r="A12">
        <v>15</v>
      </c>
      <c r="B12" s="2">
        <f>MIN($B$4,MAX(0,A12-$B$3)*$B$2)</f>
        <v>588</v>
      </c>
      <c r="C12" s="2">
        <f>A12*$B$7</f>
        <v>1500</v>
      </c>
      <c r="D12" s="2">
        <f>C12-B12</f>
        <v>912</v>
      </c>
    </row>
    <row r="13" spans="1:4">
      <c r="A13">
        <v>40</v>
      </c>
      <c r="B13" s="2">
        <f>MIN($B$4,MAX(0,A13-$B$3)*$B$2)</f>
        <v>1490</v>
      </c>
      <c r="C13" s="2">
        <f>A13*$B$7</f>
        <v>4000</v>
      </c>
      <c r="D13" s="2">
        <f>C13-B13</f>
        <v>2510</v>
      </c>
    </row>
    <row r="15" spans="1:4">
      <c r="A15" s="4" t="s">
        <v>24</v>
      </c>
      <c r="B15" s="5">
        <f>MIN(B4,MAX(0,B6-B3)*B2)</f>
        <v>588</v>
      </c>
      <c r="C15" t="s">
        <v>5</v>
      </c>
      <c r="D15" t="s">
        <v>25</v>
      </c>
    </row>
    <row r="17" spans="1:4">
      <c r="A17" t="s">
        <v>26</v>
      </c>
    </row>
    <row r="19" spans="1:4">
      <c r="A19" s="6" t="s">
        <v>27</v>
      </c>
    </row>
    <row r="20" spans="1:4">
      <c r="A20" t="s">
        <v>28</v>
      </c>
      <c r="B20" s="7">
        <v>600</v>
      </c>
      <c r="C20" t="s">
        <v>29</v>
      </c>
      <c r="D20" t="s">
        <v>30</v>
      </c>
    </row>
    <row r="21" spans="1:4">
      <c r="A21" t="s">
        <v>31</v>
      </c>
      <c r="B21">
        <v>4</v>
      </c>
      <c r="C21" t="s">
        <v>32</v>
      </c>
      <c r="D21" t="s">
        <v>33</v>
      </c>
    </row>
    <row r="22" spans="1:4">
      <c r="A22" t="s">
        <v>34</v>
      </c>
      <c r="B22">
        <v>8</v>
      </c>
      <c r="C22" t="s">
        <v>35</v>
      </c>
      <c r="D22" t="s">
        <v>36</v>
      </c>
    </row>
    <row r="23" spans="1:4">
      <c r="A23" t="s">
        <v>37</v>
      </c>
      <c r="B23">
        <v>10</v>
      </c>
      <c r="C23" t="s">
        <v>38</v>
      </c>
      <c r="D23" t="s">
        <v>39</v>
      </c>
    </row>
    <row r="24" spans="1:4">
      <c r="A24" t="s">
        <v>40</v>
      </c>
      <c r="B24">
        <f>B21*B22*B23</f>
        <v>320</v>
      </c>
      <c r="C24" t="s">
        <v>41</v>
      </c>
      <c r="D24" t="s">
        <v>42</v>
      </c>
    </row>
    <row r="25" spans="1:4">
      <c r="A25" t="s">
        <v>43</v>
      </c>
      <c r="B25">
        <v>16</v>
      </c>
      <c r="C25" t="s">
        <v>44</v>
      </c>
      <c r="D25" t="s">
        <v>45</v>
      </c>
    </row>
    <row r="26" spans="1:4">
      <c r="A26" t="s">
        <v>46</v>
      </c>
      <c r="B26" s="7">
        <v>1500</v>
      </c>
      <c r="C26" t="s">
        <v>47</v>
      </c>
      <c r="D26" t="s">
        <v>48</v>
      </c>
    </row>
    <row r="27" spans="1:4">
      <c r="A27" t="s">
        <v>49</v>
      </c>
      <c r="B27" s="1">
        <v>0.03</v>
      </c>
      <c r="C27" t="s">
        <v>50</v>
      </c>
      <c r="D27" t="s">
        <v>51</v>
      </c>
    </row>
    <row r="28" spans="1:4">
      <c r="A28" t="s">
        <v>52</v>
      </c>
      <c r="B28" s="1">
        <v>0.02</v>
      </c>
      <c r="C28" t="s">
        <v>53</v>
      </c>
      <c r="D28" t="s">
        <v>54</v>
      </c>
    </row>
    <row r="30" spans="1:4">
      <c r="A30" s="6" t="s">
        <v>55</v>
      </c>
    </row>
    <row r="31" spans="1:4">
      <c r="A31" t="s">
        <v>56</v>
      </c>
      <c r="B31" s="7">
        <f>1200+500+350+B25*B20</f>
        <v>11650</v>
      </c>
      <c r="C31" t="s">
        <v>5</v>
      </c>
      <c r="D31" t="s">
        <v>57</v>
      </c>
    </row>
    <row r="32" spans="1:4">
      <c r="A32" t="s">
        <v>58</v>
      </c>
      <c r="B32">
        <f>ROUNDUP(B31/(B15*(1-B28)),0)</f>
        <v>21</v>
      </c>
      <c r="C32" t="s">
        <v>59</v>
      </c>
      <c r="D32" t="s">
        <v>60</v>
      </c>
    </row>
    <row r="33" spans="1:4">
      <c r="A33" t="s">
        <v>61</v>
      </c>
      <c r="B33" s="8">
        <f>B26/B15</f>
        <v>2.5510204081632653</v>
      </c>
      <c r="C33" t="s">
        <v>62</v>
      </c>
      <c r="D33" t="s">
        <v>63</v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100-000000000000}">
  <dimension ref="A1:E7"/>
  <sheetViews>
    <sheetView workbookViewId="0">
      <selection activeCell="D6" sqref="D6"/>
    </sheetView>
  </sheetViews>
  <sheetFormatPr defaultRowHeight="15"/>
  <cols>
    <col min="1" max="1" width="24.42578125" bestFit="1" customWidth="1"/>
    <col min="2" max="2" width="25" bestFit="1" customWidth="1"/>
    <col min="3" max="3" width="20.140625" bestFit="1" customWidth="1"/>
    <col min="4" max="4" width="11.140625" bestFit="1" customWidth="1"/>
    <col min="5" max="5" width="27.28515625" bestFit="1" customWidth="1"/>
  </cols>
  <sheetData>
    <row r="1" spans="1:5">
      <c r="A1" s="3" t="s">
        <v>64</v>
      </c>
      <c r="B1" s="3" t="s">
        <v>65</v>
      </c>
      <c r="C1" s="3" t="s">
        <v>66</v>
      </c>
      <c r="D1" s="3" t="s">
        <v>67</v>
      </c>
      <c r="E1" s="3" t="s">
        <v>68</v>
      </c>
    </row>
    <row r="2" spans="1:5">
      <c r="A2" t="s">
        <v>69</v>
      </c>
      <c r="B2" t="s">
        <v>70</v>
      </c>
      <c r="C2" t="s">
        <v>71</v>
      </c>
      <c r="D2">
        <v>0</v>
      </c>
      <c r="E2" t="s">
        <v>72</v>
      </c>
    </row>
    <row r="3" spans="1:5">
      <c r="A3" t="s">
        <v>73</v>
      </c>
      <c r="B3" t="s">
        <v>74</v>
      </c>
      <c r="C3" t="s">
        <v>75</v>
      </c>
      <c r="D3">
        <v>0</v>
      </c>
      <c r="E3" t="s">
        <v>72</v>
      </c>
    </row>
    <row r="4" spans="1:5">
      <c r="A4" t="s">
        <v>76</v>
      </c>
      <c r="B4" t="s">
        <v>77</v>
      </c>
      <c r="C4" t="s">
        <v>71</v>
      </c>
      <c r="D4">
        <v>400</v>
      </c>
      <c r="E4" t="s">
        <v>78</v>
      </c>
    </row>
    <row r="5" spans="1:5">
      <c r="A5" t="s">
        <v>79</v>
      </c>
      <c r="B5" t="s">
        <v>80</v>
      </c>
      <c r="C5" t="s">
        <v>81</v>
      </c>
      <c r="D5">
        <v>0</v>
      </c>
      <c r="E5" t="s">
        <v>82</v>
      </c>
    </row>
    <row r="6" spans="1:5">
      <c r="A6" t="s">
        <v>83</v>
      </c>
      <c r="B6" t="s">
        <v>33</v>
      </c>
      <c r="C6" t="s">
        <v>81</v>
      </c>
      <c r="D6" s="7">
        <f>Unit_Economics!B24*Unit_Economics!B20</f>
        <v>192000</v>
      </c>
      <c r="E6" t="s">
        <v>84</v>
      </c>
    </row>
    <row r="7" spans="1:5">
      <c r="A7" t="s">
        <v>85</v>
      </c>
      <c r="B7" t="s">
        <v>86</v>
      </c>
      <c r="D7" s="7">
        <f>SUM(D2:D6)</f>
        <v>192400</v>
      </c>
    </row>
  </sheetData>
  <pageMargins left="0.7" right="0.7" top="0.75" bottom="0.75" header="0.3" footer="0.3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200-000000000000}">
  <dimension ref="A1:O39"/>
  <sheetViews>
    <sheetView workbookViewId="0">
      <pane xSplit="1" ySplit="1" topLeftCell="B2" activePane="bottomRight" state="frozen"/>
      <selection pane="topRight"/>
      <selection pane="bottomLeft"/>
      <selection pane="bottomRight"/>
    </sheetView>
  </sheetViews>
  <sheetFormatPr defaultRowHeight="15"/>
  <cols>
    <col min="1" max="1" width="8" customWidth="1"/>
    <col min="2" max="2" width="13" customWidth="1"/>
    <col min="3" max="4" width="15" customWidth="1"/>
    <col min="5" max="5" width="20" customWidth="1"/>
    <col min="6" max="6" width="15" customWidth="1"/>
    <col min="7" max="7" width="12" customWidth="1"/>
    <col min="8" max="8" width="13" customWidth="1"/>
    <col min="9" max="9" width="12" customWidth="1"/>
    <col min="10" max="10" width="15" customWidth="1"/>
    <col min="11" max="11" width="14" customWidth="1"/>
    <col min="12" max="12" width="17" customWidth="1"/>
    <col min="13" max="13" width="15" customWidth="1"/>
    <col min="14" max="14" width="14" customWidth="1"/>
    <col min="15" max="15" width="21" customWidth="1"/>
  </cols>
  <sheetData>
    <row r="1" spans="1:15">
      <c r="A1" s="6" t="s">
        <v>87</v>
      </c>
      <c r="B1" s="6" t="s">
        <v>88</v>
      </c>
      <c r="C1" s="6" t="s">
        <v>89</v>
      </c>
      <c r="D1" s="6" t="s">
        <v>90</v>
      </c>
      <c r="E1" s="6" t="s">
        <v>91</v>
      </c>
      <c r="F1" s="6" t="s">
        <v>92</v>
      </c>
      <c r="G1" s="6" t="s">
        <v>93</v>
      </c>
      <c r="H1" s="6" t="s">
        <v>94</v>
      </c>
      <c r="I1" s="6" t="s">
        <v>95</v>
      </c>
      <c r="J1" s="6" t="s">
        <v>96</v>
      </c>
      <c r="K1" s="6" t="s">
        <v>97</v>
      </c>
      <c r="L1" s="6" t="s">
        <v>98</v>
      </c>
      <c r="M1" s="6" t="s">
        <v>99</v>
      </c>
      <c r="N1" s="6" t="s">
        <v>100</v>
      </c>
      <c r="O1" s="6" t="s">
        <v>101</v>
      </c>
    </row>
    <row r="2" spans="1:15">
      <c r="A2" s="9" t="s">
        <v>102</v>
      </c>
      <c r="B2" s="9">
        <v>0</v>
      </c>
      <c r="C2" s="10">
        <f>0*(1-Unit_Economics!$B$27)+B2</f>
        <v>0</v>
      </c>
      <c r="D2" s="10">
        <f>C2*Unit_Economics!$B$6</f>
        <v>0</v>
      </c>
      <c r="E2" s="9">
        <v>10</v>
      </c>
      <c r="F2" s="11">
        <f>MIN(C2*Unit_Economics!$B$4,MAX(0,D2-C2*Unit_Economics!$B$3)*Unit_Economics!$B$2)</f>
        <v>0</v>
      </c>
      <c r="G2" s="11">
        <v>600</v>
      </c>
      <c r="H2" s="11">
        <v>0</v>
      </c>
      <c r="I2" s="11">
        <v>0</v>
      </c>
      <c r="J2" s="11">
        <f>F2*Unit_Economics!$B$28</f>
        <v>0</v>
      </c>
      <c r="K2" s="11">
        <f>Unit_Economics!$B$25*Unit_Economics!$B$20</f>
        <v>9600</v>
      </c>
      <c r="L2" s="11">
        <f>B2*Unit_Economics!$B$26</f>
        <v>0</v>
      </c>
      <c r="M2" s="11">
        <f t="shared" ref="M2:M37" si="0">SUM(G2:L2)</f>
        <v>10200</v>
      </c>
      <c r="N2" s="11">
        <f t="shared" ref="N2:N37" si="1">F2-M2</f>
        <v>-10200</v>
      </c>
      <c r="O2" s="11">
        <f>-CAPEX!$D$7+N2</f>
        <v>-202600</v>
      </c>
    </row>
    <row r="3" spans="1:15">
      <c r="A3" s="9" t="s">
        <v>103</v>
      </c>
      <c r="B3" s="9">
        <v>0</v>
      </c>
      <c r="C3" s="10">
        <f>C2*(1-Unit_Economics!$B$27)+B3</f>
        <v>0</v>
      </c>
      <c r="D3" s="10">
        <f>C3*Unit_Economics!$B$6</f>
        <v>0</v>
      </c>
      <c r="E3" s="9">
        <v>20</v>
      </c>
      <c r="F3" s="11">
        <f>MIN(C3*Unit_Economics!$B$4,MAX(0,D3-C3*Unit_Economics!$B$3)*Unit_Economics!$B$2)</f>
        <v>0</v>
      </c>
      <c r="G3" s="11">
        <v>600</v>
      </c>
      <c r="H3" s="11">
        <v>0</v>
      </c>
      <c r="I3" s="11">
        <v>0</v>
      </c>
      <c r="J3" s="11">
        <f>F3*Unit_Economics!$B$28</f>
        <v>0</v>
      </c>
      <c r="K3" s="11">
        <f>Unit_Economics!$B$25*Unit_Economics!$B$20</f>
        <v>9600</v>
      </c>
      <c r="L3" s="11">
        <f>B3*Unit_Economics!$B$26</f>
        <v>0</v>
      </c>
      <c r="M3" s="11">
        <f t="shared" si="0"/>
        <v>10200</v>
      </c>
      <c r="N3" s="11">
        <f t="shared" si="1"/>
        <v>-10200</v>
      </c>
      <c r="O3" s="11">
        <f t="shared" ref="O3:O37" si="2">O2+N3</f>
        <v>-212800</v>
      </c>
    </row>
    <row r="4" spans="1:15">
      <c r="A4" s="9" t="s">
        <v>104</v>
      </c>
      <c r="B4" s="9">
        <v>0</v>
      </c>
      <c r="C4" s="10">
        <f>C3*(1-Unit_Economics!$B$27)+B4</f>
        <v>0</v>
      </c>
      <c r="D4" s="10">
        <f>C4*Unit_Economics!$B$6</f>
        <v>0</v>
      </c>
      <c r="E4" s="9">
        <v>30</v>
      </c>
      <c r="F4" s="11">
        <f>MIN(C4*Unit_Economics!$B$4,MAX(0,D4-C4*Unit_Economics!$B$3)*Unit_Economics!$B$2)</f>
        <v>0</v>
      </c>
      <c r="G4" s="11">
        <v>600</v>
      </c>
      <c r="H4" s="11">
        <v>0</v>
      </c>
      <c r="I4" s="11">
        <v>0</v>
      </c>
      <c r="J4" s="11">
        <f>F4*Unit_Economics!$B$28</f>
        <v>0</v>
      </c>
      <c r="K4" s="11">
        <f>Unit_Economics!$B$25*Unit_Economics!$B$20</f>
        <v>9600</v>
      </c>
      <c r="L4" s="11">
        <f>B4*Unit_Economics!$B$26</f>
        <v>0</v>
      </c>
      <c r="M4" s="11">
        <f t="shared" si="0"/>
        <v>10200</v>
      </c>
      <c r="N4" s="11">
        <f t="shared" si="1"/>
        <v>-10200</v>
      </c>
      <c r="O4" s="11">
        <f t="shared" si="2"/>
        <v>-223000</v>
      </c>
    </row>
    <row r="5" spans="1:15">
      <c r="A5" s="9" t="s">
        <v>105</v>
      </c>
      <c r="B5" s="9">
        <v>3</v>
      </c>
      <c r="C5" s="10">
        <f>C4*(1-Unit_Economics!$B$27)+B5</f>
        <v>3</v>
      </c>
      <c r="D5" s="10">
        <f>C5*Unit_Economics!$B$6</f>
        <v>45</v>
      </c>
      <c r="E5" s="9">
        <v>40</v>
      </c>
      <c r="F5" s="11">
        <f>MIN(C5*Unit_Economics!$B$4,MAX(0,D5-C5*Unit_Economics!$B$3)*Unit_Economics!$B$2)</f>
        <v>1764</v>
      </c>
      <c r="G5" s="11">
        <v>600</v>
      </c>
      <c r="H5" s="11">
        <v>0</v>
      </c>
      <c r="I5" s="11">
        <v>0</v>
      </c>
      <c r="J5" s="11">
        <f>F5*Unit_Economics!$B$28</f>
        <v>35.28</v>
      </c>
      <c r="K5" s="11">
        <f>Unit_Economics!$B$25*Unit_Economics!$B$20</f>
        <v>9600</v>
      </c>
      <c r="L5" s="11">
        <f>B5*Unit_Economics!$B$26</f>
        <v>4500</v>
      </c>
      <c r="M5" s="11">
        <f t="shared" si="0"/>
        <v>14735.28</v>
      </c>
      <c r="N5" s="11">
        <f t="shared" si="1"/>
        <v>-12971.28</v>
      </c>
      <c r="O5" s="11">
        <f t="shared" si="2"/>
        <v>-235971.28</v>
      </c>
    </row>
    <row r="6" spans="1:15">
      <c r="A6" s="9" t="s">
        <v>106</v>
      </c>
      <c r="B6" s="9">
        <v>3</v>
      </c>
      <c r="C6" s="10">
        <f>C5*(1-Unit_Economics!$B$27)+B6</f>
        <v>5.91</v>
      </c>
      <c r="D6" s="10">
        <f>C6*Unit_Economics!$B$6</f>
        <v>88.65</v>
      </c>
      <c r="E6" s="9">
        <v>50</v>
      </c>
      <c r="F6" s="11">
        <f>MIN(C6*Unit_Economics!$B$4,MAX(0,D6-C6*Unit_Economics!$B$3)*Unit_Economics!$B$2)</f>
        <v>3475.08</v>
      </c>
      <c r="G6" s="11">
        <v>600</v>
      </c>
      <c r="H6" s="11">
        <v>0</v>
      </c>
      <c r="I6" s="11">
        <v>0</v>
      </c>
      <c r="J6" s="11">
        <f>F6*Unit_Economics!$B$28</f>
        <v>69.501599999999996</v>
      </c>
      <c r="K6" s="11">
        <f>Unit_Economics!$B$25*Unit_Economics!$B$20</f>
        <v>9600</v>
      </c>
      <c r="L6" s="11">
        <f>B6*Unit_Economics!$B$26</f>
        <v>4500</v>
      </c>
      <c r="M6" s="11">
        <f t="shared" si="0"/>
        <v>14769.5016</v>
      </c>
      <c r="N6" s="11">
        <f t="shared" si="1"/>
        <v>-11294.4216</v>
      </c>
      <c r="O6" s="11">
        <f t="shared" si="2"/>
        <v>-247265.7016</v>
      </c>
    </row>
    <row r="7" spans="1:15">
      <c r="A7" s="9" t="s">
        <v>107</v>
      </c>
      <c r="B7" s="9">
        <v>3</v>
      </c>
      <c r="C7" s="10">
        <f>C6*(1-Unit_Economics!$B$27)+B7</f>
        <v>8.7327000000000012</v>
      </c>
      <c r="D7" s="10">
        <f>C7*Unit_Economics!$B$6</f>
        <v>130.99050000000003</v>
      </c>
      <c r="E7" s="9">
        <v>60</v>
      </c>
      <c r="F7" s="11">
        <f>MIN(C7*Unit_Economics!$B$4,MAX(0,D7-C7*Unit_Economics!$B$3)*Unit_Economics!$B$2)</f>
        <v>5134.8276000000005</v>
      </c>
      <c r="G7" s="11">
        <v>600</v>
      </c>
      <c r="H7" s="11">
        <v>0</v>
      </c>
      <c r="I7" s="11">
        <v>0</v>
      </c>
      <c r="J7" s="11">
        <f>F7*Unit_Economics!$B$28</f>
        <v>102.69655200000001</v>
      </c>
      <c r="K7" s="11">
        <f>Unit_Economics!$B$25*Unit_Economics!$B$20</f>
        <v>9600</v>
      </c>
      <c r="L7" s="11">
        <f>B7*Unit_Economics!$B$26</f>
        <v>4500</v>
      </c>
      <c r="M7" s="11">
        <f t="shared" si="0"/>
        <v>14802.696551999999</v>
      </c>
      <c r="N7" s="11">
        <f t="shared" si="1"/>
        <v>-9667.8689519999989</v>
      </c>
      <c r="O7" s="11">
        <f t="shared" si="2"/>
        <v>-256933.57055199999</v>
      </c>
    </row>
    <row r="8" spans="1:15">
      <c r="A8" s="9" t="s">
        <v>108</v>
      </c>
      <c r="B8" s="9">
        <v>3</v>
      </c>
      <c r="C8" s="10">
        <f>C7*(1-Unit_Economics!$B$27)+B8</f>
        <v>11.470719000000001</v>
      </c>
      <c r="D8" s="10">
        <f>C8*Unit_Economics!$B$6</f>
        <v>172.06078500000001</v>
      </c>
      <c r="E8" s="9">
        <v>70</v>
      </c>
      <c r="F8" s="11">
        <f>MIN(C8*Unit_Economics!$B$4,MAX(0,D8-C8*Unit_Economics!$B$3)*Unit_Economics!$B$2)</f>
        <v>6744.7827720000005</v>
      </c>
      <c r="G8" s="11">
        <v>600</v>
      </c>
      <c r="H8" s="11">
        <v>0</v>
      </c>
      <c r="I8" s="11">
        <v>0</v>
      </c>
      <c r="J8" s="11">
        <f>F8*Unit_Economics!$B$28</f>
        <v>134.89565544000001</v>
      </c>
      <c r="K8" s="11">
        <f>Unit_Economics!$B$25*Unit_Economics!$B$20</f>
        <v>9600</v>
      </c>
      <c r="L8" s="11">
        <f>B8*Unit_Economics!$B$26</f>
        <v>4500</v>
      </c>
      <c r="M8" s="11">
        <f t="shared" si="0"/>
        <v>14834.895655439999</v>
      </c>
      <c r="N8" s="11">
        <f t="shared" si="1"/>
        <v>-8090.1128834399988</v>
      </c>
      <c r="O8" s="11">
        <f t="shared" si="2"/>
        <v>-265023.68343544001</v>
      </c>
    </row>
    <row r="9" spans="1:15">
      <c r="A9" s="9" t="s">
        <v>109</v>
      </c>
      <c r="B9" s="9">
        <v>3</v>
      </c>
      <c r="C9" s="10">
        <f>C8*(1-Unit_Economics!$B$27)+B9</f>
        <v>14.12659743</v>
      </c>
      <c r="D9" s="10">
        <f>C9*Unit_Economics!$B$6</f>
        <v>211.89896145</v>
      </c>
      <c r="E9" s="9">
        <v>80</v>
      </c>
      <c r="F9" s="11">
        <f>MIN(C9*Unit_Economics!$B$4,MAX(0,D9-C9*Unit_Economics!$B$3)*Unit_Economics!$B$2)</f>
        <v>8306.4392888399998</v>
      </c>
      <c r="G9" s="11">
        <v>1200</v>
      </c>
      <c r="H9" s="11">
        <v>500</v>
      </c>
      <c r="I9" s="11">
        <v>350</v>
      </c>
      <c r="J9" s="11">
        <f>F9*Unit_Economics!$B$28</f>
        <v>166.12878577679999</v>
      </c>
      <c r="K9" s="11">
        <f>Unit_Economics!$B$25*Unit_Economics!$B$20</f>
        <v>9600</v>
      </c>
      <c r="L9" s="11">
        <f>B9*Unit_Economics!$B$26</f>
        <v>4500</v>
      </c>
      <c r="M9" s="11">
        <f t="shared" si="0"/>
        <v>16316.1287857768</v>
      </c>
      <c r="N9" s="11">
        <f t="shared" si="1"/>
        <v>-8009.6894969368004</v>
      </c>
      <c r="O9" s="11">
        <f t="shared" si="2"/>
        <v>-273033.37293237681</v>
      </c>
    </row>
    <row r="10" spans="1:15">
      <c r="A10" s="9" t="s">
        <v>110</v>
      </c>
      <c r="B10" s="9">
        <v>3</v>
      </c>
      <c r="C10" s="10">
        <f>C9*(1-Unit_Economics!$B$27)+B10</f>
        <v>16.7027995071</v>
      </c>
      <c r="D10" s="10">
        <f>C10*Unit_Economics!$B$6</f>
        <v>250.5419926065</v>
      </c>
      <c r="E10" s="9">
        <v>90</v>
      </c>
      <c r="F10" s="11">
        <f>MIN(C10*Unit_Economics!$B$4,MAX(0,D10-C10*Unit_Economics!$B$3)*Unit_Economics!$B$2)</f>
        <v>9821.2461101748013</v>
      </c>
      <c r="G10" s="11">
        <v>1200</v>
      </c>
      <c r="H10" s="11">
        <v>500</v>
      </c>
      <c r="I10" s="11">
        <v>350</v>
      </c>
      <c r="J10" s="11">
        <f>F10*Unit_Economics!$B$28</f>
        <v>196.42492220349604</v>
      </c>
      <c r="K10" s="11">
        <f>Unit_Economics!$B$25*Unit_Economics!$B$20</f>
        <v>9600</v>
      </c>
      <c r="L10" s="11">
        <f>B10*Unit_Economics!$B$26</f>
        <v>4500</v>
      </c>
      <c r="M10" s="11">
        <f t="shared" si="0"/>
        <v>16346.424922203496</v>
      </c>
      <c r="N10" s="11">
        <f t="shared" si="1"/>
        <v>-6525.1788120286947</v>
      </c>
      <c r="O10" s="11">
        <f t="shared" si="2"/>
        <v>-279558.55174440553</v>
      </c>
    </row>
    <row r="11" spans="1:15">
      <c r="A11" s="9" t="s">
        <v>111</v>
      </c>
      <c r="B11" s="9">
        <v>3</v>
      </c>
      <c r="C11" s="10">
        <f>C10*(1-Unit_Economics!$B$27)+B11</f>
        <v>19.201715521886999</v>
      </c>
      <c r="D11" s="10">
        <f>C11*Unit_Economics!$B$6</f>
        <v>288.02573282830497</v>
      </c>
      <c r="E11" s="9">
        <v>100</v>
      </c>
      <c r="F11" s="11">
        <f>MIN(C11*Unit_Economics!$B$4,MAX(0,D11-C11*Unit_Economics!$B$3)*Unit_Economics!$B$2)</f>
        <v>11290.608726869554</v>
      </c>
      <c r="G11" s="11">
        <v>1200</v>
      </c>
      <c r="H11" s="11">
        <v>500</v>
      </c>
      <c r="I11" s="11">
        <v>350</v>
      </c>
      <c r="J11" s="11">
        <f>F11*Unit_Economics!$B$28</f>
        <v>225.81217453739109</v>
      </c>
      <c r="K11" s="11">
        <f>Unit_Economics!$B$25*Unit_Economics!$B$20</f>
        <v>9600</v>
      </c>
      <c r="L11" s="11">
        <f>B11*Unit_Economics!$B$26</f>
        <v>4500</v>
      </c>
      <c r="M11" s="11">
        <f t="shared" si="0"/>
        <v>16375.81217453739</v>
      </c>
      <c r="N11" s="11">
        <f t="shared" si="1"/>
        <v>-5085.2034476678364</v>
      </c>
      <c r="O11" s="11">
        <f t="shared" si="2"/>
        <v>-284643.75519207335</v>
      </c>
    </row>
    <row r="12" spans="1:15">
      <c r="A12" s="9" t="s">
        <v>112</v>
      </c>
      <c r="B12" s="9">
        <v>3</v>
      </c>
      <c r="C12" s="10">
        <f>C11*(1-Unit_Economics!$B$27)+B12</f>
        <v>21.625664056230388</v>
      </c>
      <c r="D12" s="10">
        <f>C12*Unit_Economics!$B$6</f>
        <v>324.38496084345581</v>
      </c>
      <c r="E12" s="9">
        <v>110</v>
      </c>
      <c r="F12" s="11">
        <f>MIN(C12*Unit_Economics!$B$4,MAX(0,D12-C12*Unit_Economics!$B$3)*Unit_Economics!$B$2)</f>
        <v>12715.890465063467</v>
      </c>
      <c r="G12" s="11">
        <v>1200</v>
      </c>
      <c r="H12" s="11">
        <v>500</v>
      </c>
      <c r="I12" s="11">
        <v>350</v>
      </c>
      <c r="J12" s="11">
        <f>F12*Unit_Economics!$B$28</f>
        <v>254.31780930126934</v>
      </c>
      <c r="K12" s="11">
        <f>Unit_Economics!$B$25*Unit_Economics!$B$20</f>
        <v>9600</v>
      </c>
      <c r="L12" s="11">
        <f>B12*Unit_Economics!$B$26</f>
        <v>4500</v>
      </c>
      <c r="M12" s="11">
        <f t="shared" si="0"/>
        <v>16404.317809301268</v>
      </c>
      <c r="N12" s="11">
        <f t="shared" si="1"/>
        <v>-3688.4273442378017</v>
      </c>
      <c r="O12" s="11">
        <f t="shared" si="2"/>
        <v>-288332.18253631116</v>
      </c>
    </row>
    <row r="13" spans="1:15">
      <c r="A13" s="9" t="s">
        <v>113</v>
      </c>
      <c r="B13" s="9">
        <v>3</v>
      </c>
      <c r="C13" s="10">
        <f>C12*(1-Unit_Economics!$B$27)+B13</f>
        <v>23.976894134543475</v>
      </c>
      <c r="D13" s="10">
        <f>C13*Unit_Economics!$B$6</f>
        <v>359.6534120181521</v>
      </c>
      <c r="E13" s="9">
        <v>120</v>
      </c>
      <c r="F13" s="11">
        <f>MIN(C13*Unit_Economics!$B$4,MAX(0,D13-C13*Unit_Economics!$B$3)*Unit_Economics!$B$2)</f>
        <v>14098.41375111156</v>
      </c>
      <c r="G13" s="11">
        <v>1200</v>
      </c>
      <c r="H13" s="11">
        <v>500</v>
      </c>
      <c r="I13" s="11">
        <v>350</v>
      </c>
      <c r="J13" s="11">
        <f>F13*Unit_Economics!$B$28</f>
        <v>281.96827502223124</v>
      </c>
      <c r="K13" s="11">
        <f>Unit_Economics!$B$25*Unit_Economics!$B$20</f>
        <v>9600</v>
      </c>
      <c r="L13" s="11">
        <f>B13*Unit_Economics!$B$26</f>
        <v>4500</v>
      </c>
      <c r="M13" s="11">
        <f t="shared" si="0"/>
        <v>16431.968275022231</v>
      </c>
      <c r="N13" s="11">
        <f t="shared" si="1"/>
        <v>-2333.5545239106705</v>
      </c>
      <c r="O13" s="11">
        <f t="shared" si="2"/>
        <v>-290665.73706022184</v>
      </c>
    </row>
    <row r="14" spans="1:15">
      <c r="A14" s="9" t="s">
        <v>114</v>
      </c>
      <c r="B14" s="9">
        <v>4</v>
      </c>
      <c r="C14" s="10">
        <f>C13*(1-Unit_Economics!$B$27)+B14</f>
        <v>27.257587310507169</v>
      </c>
      <c r="D14" s="10">
        <f>C14*Unit_Economics!$B$6</f>
        <v>408.86380965760753</v>
      </c>
      <c r="E14" s="9">
        <v>130</v>
      </c>
      <c r="F14" s="11">
        <f>MIN(C14*Unit_Economics!$B$4,MAX(0,D14-C14*Unit_Economics!$B$3)*Unit_Economics!$B$2)</f>
        <v>16027.461338578214</v>
      </c>
      <c r="G14" s="11">
        <v>1200</v>
      </c>
      <c r="H14" s="11">
        <v>500</v>
      </c>
      <c r="I14" s="11">
        <v>350</v>
      </c>
      <c r="J14" s="11">
        <f>F14*Unit_Economics!$B$28</f>
        <v>320.54922677156429</v>
      </c>
      <c r="K14" s="11">
        <f>Unit_Economics!$B$25*Unit_Economics!$B$20</f>
        <v>9600</v>
      </c>
      <c r="L14" s="11">
        <f>B14*Unit_Economics!$B$26</f>
        <v>6000</v>
      </c>
      <c r="M14" s="11">
        <f t="shared" si="0"/>
        <v>17970.549226771564</v>
      </c>
      <c r="N14" s="11">
        <f t="shared" si="1"/>
        <v>-1943.0878881933495</v>
      </c>
      <c r="O14" s="11">
        <f t="shared" si="2"/>
        <v>-292608.82494841522</v>
      </c>
    </row>
    <row r="15" spans="1:15">
      <c r="A15" s="9" t="s">
        <v>115</v>
      </c>
      <c r="B15" s="9">
        <v>4</v>
      </c>
      <c r="C15" s="10">
        <f>C14*(1-Unit_Economics!$B$27)+B15</f>
        <v>30.439859691191952</v>
      </c>
      <c r="D15" s="10">
        <f>C15*Unit_Economics!$B$6</f>
        <v>456.59789536787929</v>
      </c>
      <c r="E15" s="9">
        <v>140</v>
      </c>
      <c r="F15" s="11">
        <f>MIN(C15*Unit_Economics!$B$4,MAX(0,D15-C15*Unit_Economics!$B$3)*Unit_Economics!$B$2)</f>
        <v>17898.637498420867</v>
      </c>
      <c r="G15" s="11">
        <v>1200</v>
      </c>
      <c r="H15" s="11">
        <v>500</v>
      </c>
      <c r="I15" s="11">
        <v>350</v>
      </c>
      <c r="J15" s="11">
        <f>F15*Unit_Economics!$B$28</f>
        <v>357.97274996841736</v>
      </c>
      <c r="K15" s="11">
        <f>Unit_Economics!$B$25*Unit_Economics!$B$20</f>
        <v>9600</v>
      </c>
      <c r="L15" s="11">
        <f>B15*Unit_Economics!$B$26</f>
        <v>6000</v>
      </c>
      <c r="M15" s="11">
        <f t="shared" si="0"/>
        <v>18007.972749968416</v>
      </c>
      <c r="N15" s="11">
        <f t="shared" si="1"/>
        <v>-109.33525154754898</v>
      </c>
      <c r="O15" s="11">
        <f t="shared" si="2"/>
        <v>-292718.16019996279</v>
      </c>
    </row>
    <row r="16" spans="1:15">
      <c r="A16" s="9" t="s">
        <v>116</v>
      </c>
      <c r="B16" s="9">
        <v>4</v>
      </c>
      <c r="C16" s="10">
        <f>C15*(1-Unit_Economics!$B$27)+B16</f>
        <v>33.526663900456192</v>
      </c>
      <c r="D16" s="10">
        <f>C16*Unit_Economics!$B$6</f>
        <v>502.89995850684289</v>
      </c>
      <c r="E16" s="9">
        <v>150</v>
      </c>
      <c r="F16" s="11">
        <f>MIN(C16*Unit_Economics!$B$4,MAX(0,D16-C16*Unit_Economics!$B$3)*Unit_Economics!$B$2)</f>
        <v>19713.678373468243</v>
      </c>
      <c r="G16" s="11">
        <v>1200</v>
      </c>
      <c r="H16" s="11">
        <v>500</v>
      </c>
      <c r="I16" s="11">
        <v>350</v>
      </c>
      <c r="J16" s="11">
        <f>F16*Unit_Economics!$B$28</f>
        <v>394.27356746936488</v>
      </c>
      <c r="K16" s="11">
        <f>Unit_Economics!$B$25*Unit_Economics!$B$20</f>
        <v>9600</v>
      </c>
      <c r="L16" s="11">
        <f>B16*Unit_Economics!$B$26</f>
        <v>6000</v>
      </c>
      <c r="M16" s="11">
        <f t="shared" si="0"/>
        <v>18044.273567469365</v>
      </c>
      <c r="N16" s="11">
        <f t="shared" si="1"/>
        <v>1669.4048059988781</v>
      </c>
      <c r="O16" s="11">
        <f t="shared" si="2"/>
        <v>-291048.75539396389</v>
      </c>
    </row>
    <row r="17" spans="1:15">
      <c r="A17" s="9" t="s">
        <v>117</v>
      </c>
      <c r="B17" s="9">
        <v>4</v>
      </c>
      <c r="C17" s="10">
        <f>C16*(1-Unit_Economics!$B$27)+B17</f>
        <v>36.520863983442503</v>
      </c>
      <c r="D17" s="10">
        <f>C17*Unit_Economics!$B$6</f>
        <v>547.81295975163755</v>
      </c>
      <c r="E17" s="9">
        <v>160</v>
      </c>
      <c r="F17" s="11">
        <f>MIN(C17*Unit_Economics!$B$4,MAX(0,D17-C17*Unit_Economics!$B$3)*Unit_Economics!$B$2)</f>
        <v>21474.268022264194</v>
      </c>
      <c r="G17" s="11">
        <v>1200</v>
      </c>
      <c r="H17" s="11">
        <v>500</v>
      </c>
      <c r="I17" s="11">
        <v>350</v>
      </c>
      <c r="J17" s="11">
        <f>F17*Unit_Economics!$B$28</f>
        <v>429.4853604452839</v>
      </c>
      <c r="K17" s="11">
        <f>Unit_Economics!$B$25*Unit_Economics!$B$20</f>
        <v>9600</v>
      </c>
      <c r="L17" s="11">
        <f>B17*Unit_Economics!$B$26</f>
        <v>6000</v>
      </c>
      <c r="M17" s="11">
        <f t="shared" si="0"/>
        <v>18079.485360445284</v>
      </c>
      <c r="N17" s="11">
        <f t="shared" si="1"/>
        <v>3394.7826618189101</v>
      </c>
      <c r="O17" s="11">
        <f t="shared" si="2"/>
        <v>-287653.97273214499</v>
      </c>
    </row>
    <row r="18" spans="1:15">
      <c r="A18" s="9" t="s">
        <v>118</v>
      </c>
      <c r="B18" s="9">
        <v>4</v>
      </c>
      <c r="C18" s="10">
        <f>C17*(1-Unit_Economics!$B$27)+B18</f>
        <v>39.425238063939226</v>
      </c>
      <c r="D18" s="10">
        <f>C18*Unit_Economics!$B$6</f>
        <v>591.37857095908839</v>
      </c>
      <c r="E18" s="9">
        <v>170</v>
      </c>
      <c r="F18" s="11">
        <f>MIN(C18*Unit_Economics!$B$4,MAX(0,D18-C18*Unit_Economics!$B$3)*Unit_Economics!$B$2)</f>
        <v>23182.039981596266</v>
      </c>
      <c r="G18" s="11">
        <v>1200</v>
      </c>
      <c r="H18" s="11">
        <v>500</v>
      </c>
      <c r="I18" s="11">
        <v>350</v>
      </c>
      <c r="J18" s="11">
        <f>F18*Unit_Economics!$B$28</f>
        <v>463.64079963192535</v>
      </c>
      <c r="K18" s="11">
        <f>Unit_Economics!$B$25*Unit_Economics!$B$20</f>
        <v>9600</v>
      </c>
      <c r="L18" s="11">
        <f>B18*Unit_Economics!$B$26</f>
        <v>6000</v>
      </c>
      <c r="M18" s="11">
        <f t="shared" si="0"/>
        <v>18113.640799631925</v>
      </c>
      <c r="N18" s="11">
        <f t="shared" si="1"/>
        <v>5068.3991819643416</v>
      </c>
      <c r="O18" s="11">
        <f t="shared" si="2"/>
        <v>-282585.57355018065</v>
      </c>
    </row>
    <row r="19" spans="1:15">
      <c r="A19" s="9" t="s">
        <v>119</v>
      </c>
      <c r="B19" s="9">
        <v>4</v>
      </c>
      <c r="C19" s="10">
        <f>C18*(1-Unit_Economics!$B$27)+B19</f>
        <v>42.242480922021045</v>
      </c>
      <c r="D19" s="10">
        <f>C19*Unit_Economics!$B$6</f>
        <v>633.63721383031566</v>
      </c>
      <c r="E19" s="9">
        <v>180</v>
      </c>
      <c r="F19" s="11">
        <f>MIN(C19*Unit_Economics!$B$4,MAX(0,D19-C19*Unit_Economics!$B$3)*Unit_Economics!$B$2)</f>
        <v>24838.578782148375</v>
      </c>
      <c r="G19" s="11">
        <v>1200</v>
      </c>
      <c r="H19" s="11">
        <v>500</v>
      </c>
      <c r="I19" s="11">
        <v>350</v>
      </c>
      <c r="J19" s="11">
        <f>F19*Unit_Economics!$B$28</f>
        <v>496.77157564296755</v>
      </c>
      <c r="K19" s="11">
        <f>Unit_Economics!$B$25*Unit_Economics!$B$20</f>
        <v>9600</v>
      </c>
      <c r="L19" s="11">
        <f>B19*Unit_Economics!$B$26</f>
        <v>6000</v>
      </c>
      <c r="M19" s="11">
        <f t="shared" si="0"/>
        <v>18146.771575642968</v>
      </c>
      <c r="N19" s="11">
        <f t="shared" si="1"/>
        <v>6691.8072065054075</v>
      </c>
      <c r="O19" s="11">
        <f t="shared" si="2"/>
        <v>-275893.76634367526</v>
      </c>
    </row>
    <row r="20" spans="1:15">
      <c r="A20" s="9" t="s">
        <v>120</v>
      </c>
      <c r="B20" s="9">
        <v>4</v>
      </c>
      <c r="C20" s="10">
        <f>C19*(1-Unit_Economics!$B$27)+B20</f>
        <v>44.975206494360414</v>
      </c>
      <c r="D20" s="10">
        <f>C20*Unit_Economics!$B$6</f>
        <v>674.62809741540616</v>
      </c>
      <c r="E20" s="9">
        <v>190</v>
      </c>
      <c r="F20" s="11">
        <f>MIN(C20*Unit_Economics!$B$4,MAX(0,D20-C20*Unit_Economics!$B$3)*Unit_Economics!$B$2)</f>
        <v>26445.42141868392</v>
      </c>
      <c r="G20" s="11">
        <v>1200</v>
      </c>
      <c r="H20" s="11">
        <v>500</v>
      </c>
      <c r="I20" s="11">
        <v>350</v>
      </c>
      <c r="J20" s="11">
        <f>F20*Unit_Economics!$B$28</f>
        <v>528.90842837367836</v>
      </c>
      <c r="K20" s="11">
        <f>Unit_Economics!$B$25*Unit_Economics!$B$20</f>
        <v>9600</v>
      </c>
      <c r="L20" s="11">
        <f>B20*Unit_Economics!$B$26</f>
        <v>6000</v>
      </c>
      <c r="M20" s="11">
        <f t="shared" si="0"/>
        <v>18178.908428373677</v>
      </c>
      <c r="N20" s="11">
        <f t="shared" si="1"/>
        <v>8266.5129903102425</v>
      </c>
      <c r="O20" s="11">
        <f t="shared" si="2"/>
        <v>-267627.253353365</v>
      </c>
    </row>
    <row r="21" spans="1:15">
      <c r="A21" s="9" t="s">
        <v>121</v>
      </c>
      <c r="B21" s="9">
        <v>4</v>
      </c>
      <c r="C21" s="10">
        <f>C20*(1-Unit_Economics!$B$27)+B21</f>
        <v>47.625950299529599</v>
      </c>
      <c r="D21" s="10">
        <f>C21*Unit_Economics!$B$6</f>
        <v>714.38925449294402</v>
      </c>
      <c r="E21" s="9">
        <v>200</v>
      </c>
      <c r="F21" s="11">
        <f>MIN(C21*Unit_Economics!$B$4,MAX(0,D21-C21*Unit_Economics!$B$3)*Unit_Economics!$B$2)</f>
        <v>28004.058776123406</v>
      </c>
      <c r="G21" s="11">
        <v>1200</v>
      </c>
      <c r="H21" s="11">
        <v>500</v>
      </c>
      <c r="I21" s="11">
        <v>350</v>
      </c>
      <c r="J21" s="11">
        <f>F21*Unit_Economics!$B$28</f>
        <v>560.08117552246813</v>
      </c>
      <c r="K21" s="11">
        <f>Unit_Economics!$B$25*Unit_Economics!$B$20</f>
        <v>9600</v>
      </c>
      <c r="L21" s="11">
        <f>B21*Unit_Economics!$B$26</f>
        <v>6000</v>
      </c>
      <c r="M21" s="11">
        <f t="shared" si="0"/>
        <v>18210.081175522468</v>
      </c>
      <c r="N21" s="11">
        <f t="shared" si="1"/>
        <v>9793.9776006009379</v>
      </c>
      <c r="O21" s="11">
        <f t="shared" si="2"/>
        <v>-257833.27575276405</v>
      </c>
    </row>
    <row r="22" spans="1:15">
      <c r="A22" s="9" t="s">
        <v>122</v>
      </c>
      <c r="B22" s="9">
        <v>4</v>
      </c>
      <c r="C22" s="10">
        <f>C21*(1-Unit_Economics!$B$27)+B22</f>
        <v>50.197171790543713</v>
      </c>
      <c r="D22" s="10">
        <f>C22*Unit_Economics!$B$6</f>
        <v>752.95757685815568</v>
      </c>
      <c r="E22" s="9">
        <v>200</v>
      </c>
      <c r="F22" s="11">
        <f>MIN(C22*Unit_Economics!$B$4,MAX(0,D22-C22*Unit_Economics!$B$3)*Unit_Economics!$B$2)</f>
        <v>29515.937012839706</v>
      </c>
      <c r="G22" s="11">
        <v>1200</v>
      </c>
      <c r="H22" s="11">
        <v>500</v>
      </c>
      <c r="I22" s="11">
        <v>350</v>
      </c>
      <c r="J22" s="11">
        <f>F22*Unit_Economics!$B$28</f>
        <v>590.31874025679417</v>
      </c>
      <c r="K22" s="11">
        <f>Unit_Economics!$B$25*Unit_Economics!$B$20</f>
        <v>9600</v>
      </c>
      <c r="L22" s="11">
        <f>B22*Unit_Economics!$B$26</f>
        <v>6000</v>
      </c>
      <c r="M22" s="11">
        <f t="shared" si="0"/>
        <v>18240.318740256793</v>
      </c>
      <c r="N22" s="11">
        <f t="shared" si="1"/>
        <v>11275.618272582913</v>
      </c>
      <c r="O22" s="11">
        <f t="shared" si="2"/>
        <v>-246557.65748018114</v>
      </c>
    </row>
    <row r="23" spans="1:15">
      <c r="A23" s="9" t="s">
        <v>123</v>
      </c>
      <c r="B23" s="9">
        <v>4</v>
      </c>
      <c r="C23" s="10">
        <f>C22*(1-Unit_Economics!$B$27)+B23</f>
        <v>52.691256636827397</v>
      </c>
      <c r="D23" s="10">
        <f>C23*Unit_Economics!$B$6</f>
        <v>790.36884955241101</v>
      </c>
      <c r="E23" s="9">
        <v>200</v>
      </c>
      <c r="F23" s="11">
        <f>MIN(C23*Unit_Economics!$B$4,MAX(0,D23-C23*Unit_Economics!$B$3)*Unit_Economics!$B$2)</f>
        <v>30982.458902454513</v>
      </c>
      <c r="G23" s="11">
        <v>1200</v>
      </c>
      <c r="H23" s="11">
        <v>500</v>
      </c>
      <c r="I23" s="11">
        <v>350</v>
      </c>
      <c r="J23" s="11">
        <f>F23*Unit_Economics!$B$28</f>
        <v>619.64917804909032</v>
      </c>
      <c r="K23" s="11">
        <f>Unit_Economics!$B$25*Unit_Economics!$B$20</f>
        <v>9600</v>
      </c>
      <c r="L23" s="11">
        <f>B23*Unit_Economics!$B$26</f>
        <v>6000</v>
      </c>
      <c r="M23" s="11">
        <f t="shared" si="0"/>
        <v>18269.649178049091</v>
      </c>
      <c r="N23" s="11">
        <f t="shared" si="1"/>
        <v>12712.809724405422</v>
      </c>
      <c r="O23" s="11">
        <f t="shared" si="2"/>
        <v>-233844.84775577573</v>
      </c>
    </row>
    <row r="24" spans="1:15">
      <c r="A24" s="9" t="s">
        <v>124</v>
      </c>
      <c r="B24" s="9">
        <v>4</v>
      </c>
      <c r="C24" s="10">
        <f>C23*(1-Unit_Economics!$B$27)+B24</f>
        <v>55.110518937722574</v>
      </c>
      <c r="D24" s="10">
        <f>C24*Unit_Economics!$B$6</f>
        <v>826.65778406583865</v>
      </c>
      <c r="E24" s="9">
        <v>200</v>
      </c>
      <c r="F24" s="11">
        <f>MIN(C24*Unit_Economics!$B$4,MAX(0,D24-C24*Unit_Economics!$B$3)*Unit_Economics!$B$2)</f>
        <v>32404.985135380877</v>
      </c>
      <c r="G24" s="11">
        <v>1200</v>
      </c>
      <c r="H24" s="11">
        <v>500</v>
      </c>
      <c r="I24" s="11">
        <v>350</v>
      </c>
      <c r="J24" s="11">
        <f>F24*Unit_Economics!$B$28</f>
        <v>648.09970270761755</v>
      </c>
      <c r="K24" s="11">
        <f>Unit_Economics!$B$25*Unit_Economics!$B$20</f>
        <v>9600</v>
      </c>
      <c r="L24" s="11">
        <f>B24*Unit_Economics!$B$26</f>
        <v>6000</v>
      </c>
      <c r="M24" s="11">
        <f t="shared" si="0"/>
        <v>18298.099702707616</v>
      </c>
      <c r="N24" s="11">
        <f t="shared" si="1"/>
        <v>14106.885432673262</v>
      </c>
      <c r="O24" s="11">
        <f t="shared" si="2"/>
        <v>-219737.96232310246</v>
      </c>
    </row>
    <row r="25" spans="1:15">
      <c r="A25" s="9" t="s">
        <v>125</v>
      </c>
      <c r="B25" s="9">
        <v>4</v>
      </c>
      <c r="C25" s="10">
        <f>C24*(1-Unit_Economics!$B$27)+B25</f>
        <v>57.457203369590893</v>
      </c>
      <c r="D25" s="10">
        <f>C25*Unit_Economics!$B$6</f>
        <v>861.85805054386344</v>
      </c>
      <c r="E25" s="9">
        <v>200</v>
      </c>
      <c r="F25" s="11">
        <f>MIN(C25*Unit_Economics!$B$4,MAX(0,D25-C25*Unit_Economics!$B$3)*Unit_Economics!$B$2)</f>
        <v>33784.83558131945</v>
      </c>
      <c r="G25" s="11">
        <v>1200</v>
      </c>
      <c r="H25" s="11">
        <v>500</v>
      </c>
      <c r="I25" s="11">
        <v>350</v>
      </c>
      <c r="J25" s="11">
        <f>F25*Unit_Economics!$B$28</f>
        <v>675.69671162638906</v>
      </c>
      <c r="K25" s="11">
        <f>Unit_Economics!$B$25*Unit_Economics!$B$20</f>
        <v>9600</v>
      </c>
      <c r="L25" s="11">
        <f>B25*Unit_Economics!$B$26</f>
        <v>6000</v>
      </c>
      <c r="M25" s="11">
        <f t="shared" si="0"/>
        <v>18325.696711626391</v>
      </c>
      <c r="N25" s="11">
        <f t="shared" si="1"/>
        <v>15459.138869693059</v>
      </c>
      <c r="O25" s="11">
        <f t="shared" si="2"/>
        <v>-204278.82345340939</v>
      </c>
    </row>
    <row r="26" spans="1:15">
      <c r="A26" s="9" t="s">
        <v>126</v>
      </c>
      <c r="B26" s="9">
        <v>5</v>
      </c>
      <c r="C26" s="10">
        <f>C25*(1-Unit_Economics!$B$27)+B26</f>
        <v>60.733487268503161</v>
      </c>
      <c r="D26" s="10">
        <f>C26*Unit_Economics!$B$6</f>
        <v>911.00230902754743</v>
      </c>
      <c r="E26" s="9">
        <v>200</v>
      </c>
      <c r="F26" s="11">
        <f>MIN(C26*Unit_Economics!$B$4,MAX(0,D26-C26*Unit_Economics!$B$3)*Unit_Economics!$B$2)</f>
        <v>35711.29051387986</v>
      </c>
      <c r="G26" s="11">
        <v>1200</v>
      </c>
      <c r="H26" s="11">
        <v>500</v>
      </c>
      <c r="I26" s="11">
        <v>350</v>
      </c>
      <c r="J26" s="11">
        <f>F26*Unit_Economics!$B$28</f>
        <v>714.22581027759725</v>
      </c>
      <c r="K26" s="11">
        <f>Unit_Economics!$B$25*Unit_Economics!$B$20</f>
        <v>9600</v>
      </c>
      <c r="L26" s="11">
        <f>B26*Unit_Economics!$B$26</f>
        <v>7500</v>
      </c>
      <c r="M26" s="11">
        <f t="shared" si="0"/>
        <v>19864.225810277596</v>
      </c>
      <c r="N26" s="11">
        <f t="shared" si="1"/>
        <v>15847.064703602264</v>
      </c>
      <c r="O26" s="11">
        <f t="shared" si="2"/>
        <v>-188431.75874980714</v>
      </c>
    </row>
    <row r="27" spans="1:15">
      <c r="A27" s="9" t="s">
        <v>127</v>
      </c>
      <c r="B27" s="9">
        <v>5</v>
      </c>
      <c r="C27" s="10">
        <f>C26*(1-Unit_Economics!$B$27)+B27</f>
        <v>63.911482650448065</v>
      </c>
      <c r="D27" s="10">
        <f>C27*Unit_Economics!$B$6</f>
        <v>958.67223975672096</v>
      </c>
      <c r="E27" s="9">
        <v>200</v>
      </c>
      <c r="F27" s="11">
        <f>MIN(C27*Unit_Economics!$B$4,MAX(0,D27-C27*Unit_Economics!$B$3)*Unit_Economics!$B$2)</f>
        <v>37579.951798463459</v>
      </c>
      <c r="G27" s="11">
        <v>1200</v>
      </c>
      <c r="H27" s="11">
        <v>500</v>
      </c>
      <c r="I27" s="11">
        <v>350</v>
      </c>
      <c r="J27" s="11">
        <f>F27*Unit_Economics!$B$28</f>
        <v>751.59903596926915</v>
      </c>
      <c r="K27" s="11">
        <f>Unit_Economics!$B$25*Unit_Economics!$B$20</f>
        <v>9600</v>
      </c>
      <c r="L27" s="11">
        <f>B27*Unit_Economics!$B$26</f>
        <v>7500</v>
      </c>
      <c r="M27" s="11">
        <f t="shared" si="0"/>
        <v>19901.59903596927</v>
      </c>
      <c r="N27" s="11">
        <f t="shared" si="1"/>
        <v>17678.352762494189</v>
      </c>
      <c r="O27" s="11">
        <f t="shared" si="2"/>
        <v>-170753.40598731296</v>
      </c>
    </row>
    <row r="28" spans="1:15">
      <c r="A28" s="9" t="s">
        <v>128</v>
      </c>
      <c r="B28" s="9">
        <v>5</v>
      </c>
      <c r="C28" s="10">
        <f>C27*(1-Unit_Economics!$B$27)+B28</f>
        <v>66.994138170934619</v>
      </c>
      <c r="D28" s="10">
        <f>C28*Unit_Economics!$B$6</f>
        <v>1004.9120725640192</v>
      </c>
      <c r="E28" s="9">
        <v>200</v>
      </c>
      <c r="F28" s="11">
        <f>MIN(C28*Unit_Economics!$B$4,MAX(0,D28-C28*Unit_Economics!$B$3)*Unit_Economics!$B$2)</f>
        <v>39392.553244509552</v>
      </c>
      <c r="G28" s="11">
        <v>1200</v>
      </c>
      <c r="H28" s="11">
        <v>500</v>
      </c>
      <c r="I28" s="11">
        <v>350</v>
      </c>
      <c r="J28" s="11">
        <f>F28*Unit_Economics!$B$28</f>
        <v>787.85106489019108</v>
      </c>
      <c r="K28" s="11">
        <f>Unit_Economics!$B$25*Unit_Economics!$B$20</f>
        <v>9600</v>
      </c>
      <c r="L28" s="11">
        <f>B28*Unit_Economics!$B$26</f>
        <v>7500</v>
      </c>
      <c r="M28" s="11">
        <f t="shared" si="0"/>
        <v>19937.85106489019</v>
      </c>
      <c r="N28" s="11">
        <f t="shared" si="1"/>
        <v>19454.702179619362</v>
      </c>
      <c r="O28" s="11">
        <f t="shared" si="2"/>
        <v>-151298.70380769359</v>
      </c>
    </row>
    <row r="29" spans="1:15">
      <c r="A29" s="9" t="s">
        <v>129</v>
      </c>
      <c r="B29" s="9">
        <v>5</v>
      </c>
      <c r="C29" s="10">
        <f>C28*(1-Unit_Economics!$B$27)+B29</f>
        <v>69.984314025806583</v>
      </c>
      <c r="D29" s="10">
        <f>C29*Unit_Economics!$B$6</f>
        <v>1049.7647103870988</v>
      </c>
      <c r="E29" s="9">
        <v>200</v>
      </c>
      <c r="F29" s="11">
        <f>MIN(C29*Unit_Economics!$B$4,MAX(0,D29-C29*Unit_Economics!$B$3)*Unit_Economics!$B$2)</f>
        <v>41150.77664717428</v>
      </c>
      <c r="G29" s="11">
        <v>1200</v>
      </c>
      <c r="H29" s="11">
        <v>500</v>
      </c>
      <c r="I29" s="11">
        <v>350</v>
      </c>
      <c r="J29" s="11">
        <f>F29*Unit_Economics!$B$28</f>
        <v>823.0155329434856</v>
      </c>
      <c r="K29" s="11">
        <f>Unit_Economics!$B$25*Unit_Economics!$B$20</f>
        <v>9600</v>
      </c>
      <c r="L29" s="11">
        <f>B29*Unit_Economics!$B$26</f>
        <v>7500</v>
      </c>
      <c r="M29" s="11">
        <f t="shared" si="0"/>
        <v>19973.015532943486</v>
      </c>
      <c r="N29" s="11">
        <f t="shared" si="1"/>
        <v>21177.761114230794</v>
      </c>
      <c r="O29" s="11">
        <f t="shared" si="2"/>
        <v>-130120.9426934628</v>
      </c>
    </row>
    <row r="30" spans="1:15">
      <c r="A30" s="9" t="s">
        <v>130</v>
      </c>
      <c r="B30" s="9">
        <v>5</v>
      </c>
      <c r="C30" s="10">
        <f>C29*(1-Unit_Economics!$B$27)+B30</f>
        <v>72.88478460503238</v>
      </c>
      <c r="D30" s="10">
        <f>C30*Unit_Economics!$B$6</f>
        <v>1093.2717690754857</v>
      </c>
      <c r="E30" s="9">
        <v>200</v>
      </c>
      <c r="F30" s="11">
        <f>MIN(C30*Unit_Economics!$B$4,MAX(0,D30-C30*Unit_Economics!$B$3)*Unit_Economics!$B$2)</f>
        <v>42856.25334775904</v>
      </c>
      <c r="G30" s="11">
        <v>1200</v>
      </c>
      <c r="H30" s="11">
        <v>500</v>
      </c>
      <c r="I30" s="11">
        <v>350</v>
      </c>
      <c r="J30" s="11">
        <f>F30*Unit_Economics!$B$28</f>
        <v>857.12506695518084</v>
      </c>
      <c r="K30" s="11">
        <f>Unit_Economics!$B$25*Unit_Economics!$B$20</f>
        <v>9600</v>
      </c>
      <c r="L30" s="11">
        <f>B30*Unit_Economics!$B$26</f>
        <v>7500</v>
      </c>
      <c r="M30" s="11">
        <f t="shared" si="0"/>
        <v>20007.125066955181</v>
      </c>
      <c r="N30" s="11">
        <f t="shared" si="1"/>
        <v>22849.12828080386</v>
      </c>
      <c r="O30" s="11">
        <f t="shared" si="2"/>
        <v>-107271.81441265895</v>
      </c>
    </row>
    <row r="31" spans="1:15">
      <c r="A31" s="9" t="s">
        <v>131</v>
      </c>
      <c r="B31" s="9">
        <v>5</v>
      </c>
      <c r="C31" s="10">
        <f>C30*(1-Unit_Economics!$B$27)+B31</f>
        <v>75.698241066881408</v>
      </c>
      <c r="D31" s="10">
        <f>C31*Unit_Economics!$B$6</f>
        <v>1135.4736160032212</v>
      </c>
      <c r="E31" s="9">
        <v>200</v>
      </c>
      <c r="F31" s="11">
        <f>MIN(C31*Unit_Economics!$B$4,MAX(0,D31-C31*Unit_Economics!$B$3)*Unit_Economics!$B$2)</f>
        <v>44510.565747326269</v>
      </c>
      <c r="G31" s="11">
        <v>1200</v>
      </c>
      <c r="H31" s="11">
        <v>500</v>
      </c>
      <c r="I31" s="11">
        <v>350</v>
      </c>
      <c r="J31" s="11">
        <f>F31*Unit_Economics!$B$28</f>
        <v>890.21131494652536</v>
      </c>
      <c r="K31" s="11">
        <f>Unit_Economics!$B$25*Unit_Economics!$B$20</f>
        <v>9600</v>
      </c>
      <c r="L31" s="11">
        <f>B31*Unit_Economics!$B$26</f>
        <v>7500</v>
      </c>
      <c r="M31" s="11">
        <f t="shared" si="0"/>
        <v>20040.211314946526</v>
      </c>
      <c r="N31" s="11">
        <f t="shared" si="1"/>
        <v>24470.354432379743</v>
      </c>
      <c r="O31" s="11">
        <f t="shared" si="2"/>
        <v>-82801.459980279207</v>
      </c>
    </row>
    <row r="32" spans="1:15">
      <c r="A32" s="9" t="s">
        <v>132</v>
      </c>
      <c r="B32" s="9">
        <v>5</v>
      </c>
      <c r="C32" s="10">
        <f>C31*(1-Unit_Economics!$B$27)+B32</f>
        <v>78.427293834874959</v>
      </c>
      <c r="D32" s="10">
        <f>C32*Unit_Economics!$B$6</f>
        <v>1176.4094075231244</v>
      </c>
      <c r="E32" s="9">
        <v>200</v>
      </c>
      <c r="F32" s="11">
        <f>MIN(C32*Unit_Economics!$B$4,MAX(0,D32-C32*Unit_Economics!$B$3)*Unit_Economics!$B$2)</f>
        <v>46115.248774906482</v>
      </c>
      <c r="G32" s="11">
        <v>1200</v>
      </c>
      <c r="H32" s="11">
        <v>500</v>
      </c>
      <c r="I32" s="11">
        <v>350</v>
      </c>
      <c r="J32" s="11">
        <f>F32*Unit_Economics!$B$28</f>
        <v>922.30497549812969</v>
      </c>
      <c r="K32" s="11">
        <f>Unit_Economics!$B$25*Unit_Economics!$B$20</f>
        <v>9600</v>
      </c>
      <c r="L32" s="11">
        <f>B32*Unit_Economics!$B$26</f>
        <v>7500</v>
      </c>
      <c r="M32" s="11">
        <f t="shared" si="0"/>
        <v>20072.304975498129</v>
      </c>
      <c r="N32" s="11">
        <f t="shared" si="1"/>
        <v>26042.943799408353</v>
      </c>
      <c r="O32" s="11">
        <f t="shared" si="2"/>
        <v>-56758.516180870851</v>
      </c>
    </row>
    <row r="33" spans="1:15">
      <c r="A33" s="9" t="s">
        <v>133</v>
      </c>
      <c r="B33" s="9">
        <v>5</v>
      </c>
      <c r="C33" s="10">
        <f>C32*(1-Unit_Economics!$B$27)+B33</f>
        <v>81.074475019828711</v>
      </c>
      <c r="D33" s="10">
        <f>C33*Unit_Economics!$B$6</f>
        <v>1216.1171252974307</v>
      </c>
      <c r="E33" s="9">
        <v>200</v>
      </c>
      <c r="F33" s="11">
        <f>MIN(C33*Unit_Economics!$B$4,MAX(0,D33-C33*Unit_Economics!$B$3)*Unit_Economics!$B$2)</f>
        <v>47671.791311659283</v>
      </c>
      <c r="G33" s="11">
        <v>1200</v>
      </c>
      <c r="H33" s="11">
        <v>500</v>
      </c>
      <c r="I33" s="11">
        <v>350</v>
      </c>
      <c r="J33" s="11">
        <f>F33*Unit_Economics!$B$28</f>
        <v>953.43582623318571</v>
      </c>
      <c r="K33" s="11">
        <f>Unit_Economics!$B$25*Unit_Economics!$B$20</f>
        <v>9600</v>
      </c>
      <c r="L33" s="11">
        <f>B33*Unit_Economics!$B$26</f>
        <v>7500</v>
      </c>
      <c r="M33" s="11">
        <f t="shared" si="0"/>
        <v>20103.435826233188</v>
      </c>
      <c r="N33" s="11">
        <f t="shared" si="1"/>
        <v>27568.355485426095</v>
      </c>
      <c r="O33" s="11">
        <f t="shared" si="2"/>
        <v>-29190.160695444756</v>
      </c>
    </row>
    <row r="34" spans="1:15">
      <c r="A34" s="9" t="s">
        <v>134</v>
      </c>
      <c r="B34" s="9">
        <v>5</v>
      </c>
      <c r="C34" s="10">
        <f>C33*(1-Unit_Economics!$B$27)+B34</f>
        <v>83.642240769233851</v>
      </c>
      <c r="D34" s="10">
        <f>C34*Unit_Economics!$B$6</f>
        <v>1254.6336115385077</v>
      </c>
      <c r="E34" s="9">
        <v>200</v>
      </c>
      <c r="F34" s="11">
        <f>MIN(C34*Unit_Economics!$B$4,MAX(0,D34-C34*Unit_Economics!$B$3)*Unit_Economics!$B$2)</f>
        <v>49181.637572309504</v>
      </c>
      <c r="G34" s="11">
        <v>1200</v>
      </c>
      <c r="H34" s="11">
        <v>500</v>
      </c>
      <c r="I34" s="11">
        <v>350</v>
      </c>
      <c r="J34" s="11">
        <f>F34*Unit_Economics!$B$28</f>
        <v>983.63275144619013</v>
      </c>
      <c r="K34" s="11">
        <f>Unit_Economics!$B$25*Unit_Economics!$B$20</f>
        <v>9600</v>
      </c>
      <c r="L34" s="11">
        <f>B34*Unit_Economics!$B$26</f>
        <v>7500</v>
      </c>
      <c r="M34" s="11">
        <f t="shared" si="0"/>
        <v>20133.632751446188</v>
      </c>
      <c r="N34" s="11">
        <f t="shared" si="1"/>
        <v>29048.004820863316</v>
      </c>
      <c r="O34" s="11">
        <f t="shared" si="2"/>
        <v>-142.15587458144</v>
      </c>
    </row>
    <row r="35" spans="1:15">
      <c r="A35" s="9" t="s">
        <v>135</v>
      </c>
      <c r="B35" s="9">
        <v>5</v>
      </c>
      <c r="C35" s="10">
        <f>C34*(1-Unit_Economics!$B$27)+B35</f>
        <v>86.132973546156833</v>
      </c>
      <c r="D35" s="10">
        <f>C35*Unit_Economics!$B$6</f>
        <v>1291.9946031923525</v>
      </c>
      <c r="E35" s="9">
        <v>200</v>
      </c>
      <c r="F35" s="11">
        <f>MIN(C35*Unit_Economics!$B$4,MAX(0,D35-C35*Unit_Economics!$B$3)*Unit_Economics!$B$2)</f>
        <v>50646.188445140215</v>
      </c>
      <c r="G35" s="11">
        <v>1200</v>
      </c>
      <c r="H35" s="11">
        <v>500</v>
      </c>
      <c r="I35" s="11">
        <v>350</v>
      </c>
      <c r="J35" s="11">
        <f>F35*Unit_Economics!$B$28</f>
        <v>1012.9237689028043</v>
      </c>
      <c r="K35" s="11">
        <f>Unit_Economics!$B$25*Unit_Economics!$B$20</f>
        <v>9600</v>
      </c>
      <c r="L35" s="11">
        <f>B35*Unit_Economics!$B$26</f>
        <v>7500</v>
      </c>
      <c r="M35" s="11">
        <f t="shared" si="0"/>
        <v>20162.923768902805</v>
      </c>
      <c r="N35" s="11">
        <f t="shared" si="1"/>
        <v>30483.26467623741</v>
      </c>
      <c r="O35" s="11">
        <f t="shared" si="2"/>
        <v>30341.10880165597</v>
      </c>
    </row>
    <row r="36" spans="1:15">
      <c r="A36" s="9" t="s">
        <v>136</v>
      </c>
      <c r="B36" s="9">
        <v>5</v>
      </c>
      <c r="C36" s="10">
        <f>C35*(1-Unit_Economics!$B$27)+B36</f>
        <v>88.548984339772133</v>
      </c>
      <c r="D36" s="10">
        <f>C36*Unit_Economics!$B$6</f>
        <v>1328.2347650965819</v>
      </c>
      <c r="E36" s="9">
        <v>200</v>
      </c>
      <c r="F36" s="11">
        <f>MIN(C36*Unit_Economics!$B$4,MAX(0,D36-C36*Unit_Economics!$B$3)*Unit_Economics!$B$2)</f>
        <v>52066.802791786009</v>
      </c>
      <c r="G36" s="11">
        <v>1200</v>
      </c>
      <c r="H36" s="11">
        <v>500</v>
      </c>
      <c r="I36" s="11">
        <v>350</v>
      </c>
      <c r="J36" s="11">
        <f>F36*Unit_Economics!$B$28</f>
        <v>1041.3360558357201</v>
      </c>
      <c r="K36" s="11">
        <f>Unit_Economics!$B$25*Unit_Economics!$B$20</f>
        <v>9600</v>
      </c>
      <c r="L36" s="11">
        <f>B36*Unit_Economics!$B$26</f>
        <v>7500</v>
      </c>
      <c r="M36" s="11">
        <f t="shared" si="0"/>
        <v>20191.33605583572</v>
      </c>
      <c r="N36" s="11">
        <f t="shared" si="1"/>
        <v>31875.466735950289</v>
      </c>
      <c r="O36" s="11">
        <f t="shared" si="2"/>
        <v>62216.575537606259</v>
      </c>
    </row>
    <row r="37" spans="1:15">
      <c r="A37" s="9" t="s">
        <v>137</v>
      </c>
      <c r="B37" s="9">
        <v>5</v>
      </c>
      <c r="C37" s="10">
        <f>C36*(1-Unit_Economics!$B$27)+B37</f>
        <v>90.892514809578969</v>
      </c>
      <c r="D37" s="10">
        <f>C37*Unit_Economics!$B$6</f>
        <v>1363.3877221436846</v>
      </c>
      <c r="E37" s="9">
        <v>200</v>
      </c>
      <c r="F37" s="11">
        <f>MIN(C37*Unit_Economics!$B$4,MAX(0,D37-C37*Unit_Economics!$B$3)*Unit_Economics!$B$2)</f>
        <v>53444.798708032446</v>
      </c>
      <c r="G37" s="11">
        <v>1200</v>
      </c>
      <c r="H37" s="11">
        <v>500</v>
      </c>
      <c r="I37" s="11">
        <v>350</v>
      </c>
      <c r="J37" s="11">
        <f>F37*Unit_Economics!$B$28</f>
        <v>1068.8959741606488</v>
      </c>
      <c r="K37" s="11">
        <f>Unit_Economics!$B$25*Unit_Economics!$B$20</f>
        <v>9600</v>
      </c>
      <c r="L37" s="11">
        <f>B37*Unit_Economics!$B$26</f>
        <v>7500</v>
      </c>
      <c r="M37" s="11">
        <f t="shared" si="0"/>
        <v>20218.895974160649</v>
      </c>
      <c r="N37" s="11">
        <f t="shared" si="1"/>
        <v>33225.902733871801</v>
      </c>
      <c r="O37" s="11">
        <f t="shared" si="2"/>
        <v>95442.478271478059</v>
      </c>
    </row>
    <row r="39" spans="1:15">
      <c r="A39" t="s">
        <v>138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Listy</vt:lpstr>
      </vt:variant>
      <vt:variant>
        <vt:i4>3</vt:i4>
      </vt:variant>
    </vt:vector>
  </HeadingPairs>
  <TitlesOfParts>
    <vt:vector size="3" baseType="lpstr">
      <vt:lpstr>Unit_Economics</vt:lpstr>
      <vt:lpstr>CAPEX</vt:lpstr>
      <vt:lpstr>Cashflow_36M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Martin Indra</dc:creator>
  <cp:lastModifiedBy>Vilém Prchal</cp:lastModifiedBy>
  <dcterms:created xsi:type="dcterms:W3CDTF">2026-10-07T15:31:26Z</dcterms:created>
  <dcterms:modified xsi:type="dcterms:W3CDTF">2026-10-16T15:11:59Z</dcterms:modified>
</cp:coreProperties>
</file>