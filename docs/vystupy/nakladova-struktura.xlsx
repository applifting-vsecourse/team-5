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0" autoFilterDateGrouping="1"/>
  </bookViews>
  <sheets>
    <sheet xmlns:r="http://schemas.openxmlformats.org/officeDocument/2006/relationships" name="Unit_Economics" sheetId="1" state="visible" r:id="rId1"/>
    <sheet xmlns:r="http://schemas.openxmlformats.org/officeDocument/2006/relationships" name="CAPEX" sheetId="2" state="visible" r:id="rId2"/>
    <sheet xmlns:r="http://schemas.openxmlformats.org/officeDocument/2006/relationships" name="Cashflow_12M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\ [$Kč-405]_-;\-* #,##0.00\ [$Kč-405]_-;_-* &quot;-&quot;??\ [$Kč-405]_-;_-@_-"/>
  </numFmts>
  <fonts count="3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6" customWidth="1" min="3" max="3"/>
    <col width="62" customWidth="1" min="4" max="4"/>
  </cols>
  <sheetData>
    <row r="1">
      <c r="A1" s="5" t="inlineStr">
        <is>
          <t>Parametr</t>
        </is>
      </c>
      <c r="B1" s="5" t="inlineStr">
        <is>
          <t>Hodnota</t>
        </is>
      </c>
      <c r="C1" s="5" t="inlineStr">
        <is>
          <t>Jednotka</t>
        </is>
      </c>
      <c r="D1" s="5" t="inlineStr">
        <is>
          <t>Poznámka</t>
        </is>
      </c>
    </row>
    <row r="2">
      <c r="A2" t="inlineStr">
        <is>
          <t>Cena_za_aktivniho_klienta</t>
        </is>
      </c>
      <c r="B2" s="2" t="n">
        <v>49</v>
      </c>
      <c r="C2" t="inlineStr">
        <is>
          <t>Kč / měsíc</t>
        </is>
      </c>
      <c r="D2" t="inlineStr">
        <is>
          <t>Trenér platí za každého aktivního klienta nad limit zdarma</t>
        </is>
      </c>
    </row>
    <row r="3">
      <c r="A3" t="inlineStr">
        <is>
          <t>Klienti_zdarma</t>
        </is>
      </c>
      <c r="B3" t="n">
        <v>3</v>
      </c>
      <c r="C3" t="inlineStr">
        <is>
          <t>klienti / trenér</t>
        </is>
      </c>
      <c r="D3" t="inlineStr">
        <is>
          <t>Vyzkoušení bez platby</t>
        </is>
      </c>
    </row>
    <row r="4">
      <c r="A4" t="inlineStr">
        <is>
          <t>Strop_na_trenera</t>
        </is>
      </c>
      <c r="B4" s="2" t="n">
        <v>1490</v>
      </c>
      <c r="C4" t="inlineStr">
        <is>
          <t>Kč / měsíc</t>
        </is>
      </c>
      <c r="D4" t="inlineStr">
        <is>
          <t>Psí školy, strop platí od 34 aktivních klientů</t>
        </is>
      </c>
    </row>
    <row r="5">
      <c r="A5" t="inlineStr">
        <is>
          <t>Cena_pro_psovoda</t>
        </is>
      </c>
      <c r="B5" s="2" t="n">
        <v>0</v>
      </c>
      <c r="C5" t="inlineStr">
        <is>
          <t>Kč</t>
        </is>
      </c>
      <c r="D5" t="inlineStr">
        <is>
          <t>S trenérem i bez něj, i s více psy</t>
        </is>
      </c>
    </row>
    <row r="6">
      <c r="A6" t="inlineStr">
        <is>
          <t>Prumer_klientu_na_trenera</t>
        </is>
      </c>
      <c r="B6" t="n">
        <v>15</v>
      </c>
      <c r="C6" t="inlineStr">
        <is>
          <t>klienti</t>
        </is>
      </c>
      <c r="D6" t="inlineStr">
        <is>
          <t>Předpoklad pro pilot (respondentka má ~40 klientů)</t>
        </is>
      </c>
    </row>
    <row r="7">
      <c r="A7" t="inlineStr">
        <is>
          <t>Prirazka_trenera_klientovi</t>
        </is>
      </c>
      <c r="B7" s="2" t="n">
        <v>100</v>
      </c>
      <c r="C7" t="inlineStr">
        <is>
          <t>Kč / měsíc</t>
        </is>
      </c>
      <c r="D7" t="inlineStr">
        <is>
          <t>Návrh: kolik si trenér řekne klientovi za podporu mezi lekcemi</t>
        </is>
      </c>
    </row>
    <row r="9">
      <c r="A9" s="5" t="inlineStr">
        <is>
          <t>Aktivních klientů</t>
        </is>
      </c>
      <c r="B9" s="5" t="inlineStr">
        <is>
          <t>Poplatek trenéra</t>
        </is>
      </c>
      <c r="C9" s="5" t="inlineStr">
        <is>
          <t>Příjem trenéra z přirážky</t>
        </is>
      </c>
      <c r="D9" s="5" t="inlineStr">
        <is>
          <t>Trenérovi zbyde</t>
        </is>
      </c>
    </row>
    <row r="10">
      <c r="A10" t="n">
        <v>3</v>
      </c>
      <c r="B10" s="2">
        <f>MIN($B$4,MAX(0,A10-$B$3)*$B$2)</f>
        <v/>
      </c>
      <c r="C10" s="2">
        <f>A10*$B$7</f>
        <v/>
      </c>
      <c r="D10" s="2">
        <f>C10-B10</f>
        <v/>
      </c>
    </row>
    <row r="11">
      <c r="A11" t="n">
        <v>10</v>
      </c>
      <c r="B11" s="2">
        <f>MIN($B$4,MAX(0,A11-$B$3)*$B$2)</f>
        <v/>
      </c>
      <c r="C11" s="2">
        <f>A11*$B$7</f>
        <v/>
      </c>
      <c r="D11" s="2">
        <f>C11-B11</f>
        <v/>
      </c>
    </row>
    <row r="12">
      <c r="A12" t="n">
        <v>15</v>
      </c>
      <c r="B12" s="2">
        <f>MIN($B$4,MAX(0,A12-$B$3)*$B$2)</f>
        <v/>
      </c>
      <c r="C12" s="2">
        <f>A12*$B$7</f>
        <v/>
      </c>
      <c r="D12" s="2">
        <f>C12-B12</f>
        <v/>
      </c>
    </row>
    <row r="13">
      <c r="A13" t="n">
        <v>40</v>
      </c>
      <c r="B13" s="2">
        <f>MIN($B$4,MAX(0,A13-$B$3)*$B$2)</f>
        <v/>
      </c>
      <c r="C13" s="2">
        <f>A13*$B$7</f>
        <v/>
      </c>
      <c r="D13" s="2">
        <f>C13-B13</f>
        <v/>
      </c>
    </row>
    <row r="15">
      <c r="A15" s="5" t="inlineStr">
        <is>
          <t>ARPU</t>
        </is>
      </c>
      <c r="B15" s="6">
        <f>MIN(B4,MAX(0,B6-B3)*B2)</f>
        <v/>
      </c>
      <c r="C15" t="inlineStr">
        <is>
          <t>Kč / měsíc</t>
        </is>
      </c>
      <c r="D15" t="inlineStr">
        <is>
          <t>Průměrný měsíční příjem na platícího trenéra (při B6 klientech)</t>
        </is>
      </c>
    </row>
    <row r="17">
      <c r="A17" t="inlineStr">
        <is>
          <t>Aktivní klient = psovod propojený s trenérem, se kterým trenér v měsíci aspoň jednou pracoval v aplikaci (zadání, úprava plánu, záznam nebo zpráva).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D6" sqref="D6"/>
    </sheetView>
  </sheetViews>
  <sheetFormatPr baseColWidth="8" defaultRowHeight="15"/>
  <cols>
    <col width="24.42578125" bestFit="1" customWidth="1" min="1" max="1"/>
    <col width="25" bestFit="1" customWidth="1" min="2" max="2"/>
    <col width="20.140625" bestFit="1" customWidth="1" min="3" max="3"/>
    <col width="11.140625" bestFit="1" customWidth="1" min="4" max="4"/>
    <col width="27.28515625" bestFit="1" customWidth="1" min="5" max="5"/>
  </cols>
  <sheetData>
    <row r="1">
      <c r="A1" s="3" t="inlineStr">
        <is>
          <t>Polozka</t>
        </is>
      </c>
      <c r="B1" s="3" t="inlineStr">
        <is>
          <t>Poskytovatel</t>
        </is>
      </c>
      <c r="C1" s="3" t="inlineStr">
        <is>
          <t>Typ_Platby</t>
        </is>
      </c>
      <c r="D1" s="3" t="inlineStr">
        <is>
          <t>Castka_CZK</t>
        </is>
      </c>
      <c r="E1" s="3" t="inlineStr">
        <is>
          <t>Poznamka</t>
        </is>
      </c>
    </row>
    <row r="2">
      <c r="A2" t="inlineStr">
        <is>
          <t>Apple Developer Program</t>
        </is>
      </c>
      <c r="B2" t="inlineStr">
        <is>
          <t>Apple Inc.</t>
        </is>
      </c>
      <c r="C2" t="inlineStr">
        <is>
          <t>Roční poplatek</t>
        </is>
      </c>
      <c r="D2" t="n">
        <v>0</v>
      </c>
      <c r="E2" t="inlineStr">
        <is>
          <t>Není potřeba pro responzivní webapp (výhledově pro nativní appku)</t>
        </is>
      </c>
    </row>
    <row r="3">
      <c r="A3" t="inlineStr">
        <is>
          <t>Google Play Console</t>
        </is>
      </c>
      <c r="B3" t="inlineStr">
        <is>
          <t>Google LLC</t>
        </is>
      </c>
      <c r="C3" t="inlineStr">
        <is>
          <t>Jednorázový poplatek</t>
        </is>
      </c>
      <c r="D3" t="n">
        <v>0</v>
      </c>
      <c r="E3" t="inlineStr">
        <is>
          <t>Není potřeba pro responzivní webapp (výhledově pro nativní appku)</t>
        </is>
      </c>
    </row>
    <row r="4">
      <c r="A4" t="inlineStr">
        <is>
          <t>Doména a DNS (.cz / .app)</t>
        </is>
      </c>
      <c r="B4" t="inlineStr">
        <is>
          <t>Wedos / Cloudflare</t>
        </is>
      </c>
      <c r="C4" t="inlineStr">
        <is>
          <t>Roční poplatek</t>
        </is>
      </c>
      <c r="D4" t="n">
        <v>400</v>
      </c>
      <c r="E4" t="inlineStr">
        <is>
          <t>Včetně základního SSL</t>
        </is>
      </c>
    </row>
    <row r="5">
      <c r="A5" t="inlineStr">
        <is>
          <t>VOP a GDPR šablony</t>
        </is>
      </c>
      <c r="B5" t="inlineStr">
        <is>
          <t>Open-source / Vzor</t>
        </is>
      </c>
      <c r="C5" t="inlineStr">
        <is>
          <t>Jednorázově</t>
        </is>
      </c>
      <c r="D5" t="n">
        <v>0</v>
      </c>
      <c r="E5" t="inlineStr">
        <is>
          <t>Studentský pilot</t>
        </is>
      </c>
    </row>
    <row r="6">
      <c r="A6" t="inlineStr">
        <is>
          <t>CELKEM_CAPEX</t>
        </is>
      </c>
      <c r="B6" t="inlineStr">
        <is>
          <t>Počáteční investice celkem</t>
        </is>
      </c>
      <c r="D6">
        <f>SUM(D2:D5)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20" customWidth="1" min="4" max="4"/>
    <col width="16" customWidth="1" min="5" max="5"/>
    <col width="12" customWidth="1" min="6" max="6"/>
    <col width="13" customWidth="1" min="7" max="7"/>
    <col width="12" customWidth="1" min="8" max="8"/>
    <col width="15" customWidth="1" min="9" max="9"/>
    <col width="13" customWidth="1" min="10" max="10"/>
    <col width="14" customWidth="1" min="11" max="11"/>
    <col width="21" customWidth="1" min="12" max="12"/>
  </cols>
  <sheetData>
    <row r="1">
      <c r="A1" s="5" t="inlineStr">
        <is>
          <t>Mesic</t>
        </is>
      </c>
      <c r="B1" s="5" t="inlineStr">
        <is>
          <t>Platici_Treneri</t>
        </is>
      </c>
      <c r="C1" s="5" t="inlineStr">
        <is>
          <t>Aktivni_Klienti</t>
        </is>
      </c>
      <c r="D1" s="5" t="inlineStr">
        <is>
          <t>Psovodi_Bez_Trenera</t>
        </is>
      </c>
      <c r="E1" s="5" t="inlineStr">
        <is>
          <t>Prijmy_Celkem</t>
        </is>
      </c>
      <c r="F1" s="5" t="inlineStr">
        <is>
          <t>Server_DB</t>
        </is>
      </c>
      <c r="G1" s="5" t="inlineStr">
        <is>
          <t>Frontend_API</t>
        </is>
      </c>
      <c r="H1" s="5" t="inlineStr">
        <is>
          <t>Notifikace</t>
        </is>
      </c>
      <c r="I1" s="5" t="inlineStr">
        <is>
          <t>Poplatky_Brany</t>
        </is>
      </c>
      <c r="J1" s="5" t="inlineStr">
        <is>
          <t>OPEX_Celkem</t>
        </is>
      </c>
      <c r="K1" s="5" t="inlineStr">
        <is>
          <t>Mesicni_Zisk</t>
        </is>
      </c>
      <c r="L1" s="5" t="inlineStr">
        <is>
          <t>Kumulativni_Cashflow</t>
        </is>
      </c>
    </row>
    <row r="2">
      <c r="A2" t="inlineStr">
        <is>
          <t>M01</t>
        </is>
      </c>
      <c r="B2" t="n">
        <v>0</v>
      </c>
      <c r="C2">
        <f>B2*Unit_Economics!$B$6</f>
        <v/>
      </c>
      <c r="D2" t="n">
        <v>10</v>
      </c>
      <c r="E2" s="2">
        <f>MIN(B2*Unit_Economics!$B$4,MAX(0,C2-B2*Unit_Economics!$B$3)*Unit_Economics!$B$2)</f>
        <v/>
      </c>
      <c r="F2" s="2" t="n">
        <v>0</v>
      </c>
      <c r="G2" s="2" t="n">
        <v>0</v>
      </c>
      <c r="H2" s="2" t="n">
        <v>0</v>
      </c>
      <c r="I2" s="2">
        <f>E2*0.02</f>
        <v/>
      </c>
      <c r="J2" s="2">
        <f>SUM(F2:I2)</f>
        <v/>
      </c>
      <c r="K2" s="2">
        <f>E2-J2</f>
        <v/>
      </c>
      <c r="L2" s="2">
        <f>-CAPEX!$D$6+K2</f>
        <v/>
      </c>
    </row>
    <row r="3">
      <c r="A3" t="inlineStr">
        <is>
          <t>M02</t>
        </is>
      </c>
      <c r="B3" t="n">
        <v>0</v>
      </c>
      <c r="C3">
        <f>B3*Unit_Economics!$B$6</f>
        <v/>
      </c>
      <c r="D3" t="n">
        <v>20</v>
      </c>
      <c r="E3" s="2">
        <f>MIN(B3*Unit_Economics!$B$4,MAX(0,C3-B3*Unit_Economics!$B$3)*Unit_Economics!$B$2)</f>
        <v/>
      </c>
      <c r="F3" s="2" t="n">
        <v>0</v>
      </c>
      <c r="G3" s="2" t="n">
        <v>0</v>
      </c>
      <c r="H3" s="2" t="n">
        <v>0</v>
      </c>
      <c r="I3" s="2">
        <f>E3*0.02</f>
        <v/>
      </c>
      <c r="J3" s="2">
        <f>SUM(F3:I3)</f>
        <v/>
      </c>
      <c r="K3" s="2">
        <f>E3-J3</f>
        <v/>
      </c>
      <c r="L3" s="2">
        <f>L2+K3</f>
        <v/>
      </c>
    </row>
    <row r="4">
      <c r="A4" t="inlineStr">
        <is>
          <t>M03</t>
        </is>
      </c>
      <c r="B4" t="n">
        <v>0</v>
      </c>
      <c r="C4">
        <f>B4*Unit_Economics!$B$6</f>
        <v/>
      </c>
      <c r="D4" t="n">
        <v>30</v>
      </c>
      <c r="E4" s="2">
        <f>MIN(B4*Unit_Economics!$B$4,MAX(0,C4-B4*Unit_Economics!$B$3)*Unit_Economics!$B$2)</f>
        <v/>
      </c>
      <c r="F4" s="2" t="n">
        <v>0</v>
      </c>
      <c r="G4" s="2" t="n">
        <v>0</v>
      </c>
      <c r="H4" s="2" t="n">
        <v>0</v>
      </c>
      <c r="I4" s="2">
        <f>E4*0.02</f>
        <v/>
      </c>
      <c r="J4" s="2">
        <f>SUM(F4:I4)</f>
        <v/>
      </c>
      <c r="K4" s="2">
        <f>E4-J4</f>
        <v/>
      </c>
      <c r="L4" s="2">
        <f>L3+K4</f>
        <v/>
      </c>
    </row>
    <row r="5">
      <c r="A5" t="inlineStr">
        <is>
          <t>M04</t>
        </is>
      </c>
      <c r="B5" t="n">
        <v>3</v>
      </c>
      <c r="C5">
        <f>B5*Unit_Economics!$B$6</f>
        <v/>
      </c>
      <c r="D5" t="n">
        <v>40</v>
      </c>
      <c r="E5" s="2">
        <f>MIN(B5*Unit_Economics!$B$4,MAX(0,C5-B5*Unit_Economics!$B$3)*Unit_Economics!$B$2)</f>
        <v/>
      </c>
      <c r="F5" s="2" t="n">
        <v>600</v>
      </c>
      <c r="G5" s="2" t="n">
        <v>0</v>
      </c>
      <c r="H5" s="2" t="n">
        <v>0</v>
      </c>
      <c r="I5" s="2">
        <f>E5*0.02</f>
        <v/>
      </c>
      <c r="J5" s="2">
        <f>SUM(F5:I5)</f>
        <v/>
      </c>
      <c r="K5" s="2">
        <f>E5-J5</f>
        <v/>
      </c>
      <c r="L5" s="2">
        <f>L4+K5</f>
        <v/>
      </c>
    </row>
    <row r="6">
      <c r="A6" t="inlineStr">
        <is>
          <t>M05</t>
        </is>
      </c>
      <c r="B6" t="n">
        <v>6</v>
      </c>
      <c r="C6">
        <f>B6*Unit_Economics!$B$6</f>
        <v/>
      </c>
      <c r="D6" t="n">
        <v>50</v>
      </c>
      <c r="E6" s="2">
        <f>MIN(B6*Unit_Economics!$B$4,MAX(0,C6-B6*Unit_Economics!$B$3)*Unit_Economics!$B$2)</f>
        <v/>
      </c>
      <c r="F6" s="2" t="n">
        <v>600</v>
      </c>
      <c r="G6" s="2" t="n">
        <v>0</v>
      </c>
      <c r="H6" s="2" t="n">
        <v>0</v>
      </c>
      <c r="I6" s="2">
        <f>E6*0.02</f>
        <v/>
      </c>
      <c r="J6" s="2">
        <f>SUM(F6:I6)</f>
        <v/>
      </c>
      <c r="K6" s="2">
        <f>E6-J6</f>
        <v/>
      </c>
      <c r="L6" s="2">
        <f>L5+K6</f>
        <v/>
      </c>
    </row>
    <row r="7">
      <c r="A7" t="inlineStr">
        <is>
          <t>M06</t>
        </is>
      </c>
      <c r="B7" t="n">
        <v>10</v>
      </c>
      <c r="C7">
        <f>B7*Unit_Economics!$B$6</f>
        <v/>
      </c>
      <c r="D7" t="n">
        <v>60</v>
      </c>
      <c r="E7" s="2">
        <f>MIN(B7*Unit_Economics!$B$4,MAX(0,C7-B7*Unit_Economics!$B$3)*Unit_Economics!$B$2)</f>
        <v/>
      </c>
      <c r="F7" s="2" t="n">
        <v>600</v>
      </c>
      <c r="G7" s="2" t="n">
        <v>0</v>
      </c>
      <c r="H7" s="2" t="n">
        <v>0</v>
      </c>
      <c r="I7" s="2">
        <f>E7*0.02</f>
        <v/>
      </c>
      <c r="J7" s="2">
        <f>SUM(F7:I7)</f>
        <v/>
      </c>
      <c r="K7" s="2">
        <f>E7-J7</f>
        <v/>
      </c>
      <c r="L7" s="2">
        <f>L6+K7</f>
        <v/>
      </c>
    </row>
    <row r="8">
      <c r="A8" t="inlineStr">
        <is>
          <t>M07</t>
        </is>
      </c>
      <c r="B8" t="n">
        <v>13</v>
      </c>
      <c r="C8">
        <f>B8*Unit_Economics!$B$6</f>
        <v/>
      </c>
      <c r="D8" t="n">
        <v>70</v>
      </c>
      <c r="E8" s="2">
        <f>MIN(B8*Unit_Economics!$B$4,MAX(0,C8-B8*Unit_Economics!$B$3)*Unit_Economics!$B$2)</f>
        <v/>
      </c>
      <c r="F8" s="2" t="n">
        <v>600</v>
      </c>
      <c r="G8" s="2" t="n">
        <v>0</v>
      </c>
      <c r="H8" s="2" t="n">
        <v>0</v>
      </c>
      <c r="I8" s="2">
        <f>E8*0.02</f>
        <v/>
      </c>
      <c r="J8" s="2">
        <f>SUM(F8:I8)</f>
        <v/>
      </c>
      <c r="K8" s="2">
        <f>E8-J8</f>
        <v/>
      </c>
      <c r="L8" s="2">
        <f>L7+K8</f>
        <v/>
      </c>
    </row>
    <row r="9">
      <c r="A9" t="inlineStr">
        <is>
          <t>M08</t>
        </is>
      </c>
      <c r="B9" t="n">
        <v>16</v>
      </c>
      <c r="C9">
        <f>B9*Unit_Economics!$B$6</f>
        <v/>
      </c>
      <c r="D9" t="n">
        <v>80</v>
      </c>
      <c r="E9" s="2">
        <f>MIN(B9*Unit_Economics!$B$4,MAX(0,C9-B9*Unit_Economics!$B$3)*Unit_Economics!$B$2)</f>
        <v/>
      </c>
      <c r="F9" s="2" t="n">
        <v>1200</v>
      </c>
      <c r="G9" s="2" t="n">
        <v>500</v>
      </c>
      <c r="H9" s="2" t="n">
        <v>350</v>
      </c>
      <c r="I9" s="2">
        <f>E9*0.02</f>
        <v/>
      </c>
      <c r="J9" s="2">
        <f>SUM(F9:I9)</f>
        <v/>
      </c>
      <c r="K9" s="2">
        <f>E9-J9</f>
        <v/>
      </c>
      <c r="L9" s="2">
        <f>L8+K9</f>
        <v/>
      </c>
    </row>
    <row r="10">
      <c r="A10" t="inlineStr">
        <is>
          <t>M09</t>
        </is>
      </c>
      <c r="B10" t="n">
        <v>20</v>
      </c>
      <c r="C10">
        <f>B10*Unit_Economics!$B$6</f>
        <v/>
      </c>
      <c r="D10" t="n">
        <v>90</v>
      </c>
      <c r="E10" s="2">
        <f>MIN(B10*Unit_Economics!$B$4,MAX(0,C10-B10*Unit_Economics!$B$3)*Unit_Economics!$B$2)</f>
        <v/>
      </c>
      <c r="F10" s="2" t="n">
        <v>1200</v>
      </c>
      <c r="G10" s="2" t="n">
        <v>500</v>
      </c>
      <c r="H10" s="2" t="n">
        <v>350</v>
      </c>
      <c r="I10" s="2">
        <f>E10*0.02</f>
        <v/>
      </c>
      <c r="J10" s="2">
        <f>SUM(F10:I10)</f>
        <v/>
      </c>
      <c r="K10" s="2">
        <f>E10-J10</f>
        <v/>
      </c>
      <c r="L10" s="2">
        <f>L9+K10</f>
        <v/>
      </c>
    </row>
    <row r="11">
      <c r="A11" t="inlineStr">
        <is>
          <t>M10</t>
        </is>
      </c>
      <c r="B11" t="n">
        <v>23</v>
      </c>
      <c r="C11">
        <f>B11*Unit_Economics!$B$6</f>
        <v/>
      </c>
      <c r="D11" t="n">
        <v>100</v>
      </c>
      <c r="E11" s="2">
        <f>MIN(B11*Unit_Economics!$B$4,MAX(0,C11-B11*Unit_Economics!$B$3)*Unit_Economics!$B$2)</f>
        <v/>
      </c>
      <c r="F11" s="2" t="n">
        <v>1200</v>
      </c>
      <c r="G11" s="2" t="n">
        <v>500</v>
      </c>
      <c r="H11" s="2" t="n">
        <v>350</v>
      </c>
      <c r="I11" s="2">
        <f>E11*0.02</f>
        <v/>
      </c>
      <c r="J11" s="2">
        <f>SUM(F11:I11)</f>
        <v/>
      </c>
      <c r="K11" s="2">
        <f>E11-J11</f>
        <v/>
      </c>
      <c r="L11" s="2">
        <f>L10+K11</f>
        <v/>
      </c>
    </row>
    <row r="12">
      <c r="A12" t="inlineStr">
        <is>
          <t>M11</t>
        </is>
      </c>
      <c r="B12" t="n">
        <v>26</v>
      </c>
      <c r="C12">
        <f>B12*Unit_Economics!$B$6</f>
        <v/>
      </c>
      <c r="D12" t="n">
        <v>110</v>
      </c>
      <c r="E12" s="2">
        <f>MIN(B12*Unit_Economics!$B$4,MAX(0,C12-B12*Unit_Economics!$B$3)*Unit_Economics!$B$2)</f>
        <v/>
      </c>
      <c r="F12" s="2" t="n">
        <v>1200</v>
      </c>
      <c r="G12" s="2" t="n">
        <v>500</v>
      </c>
      <c r="H12" s="2" t="n">
        <v>350</v>
      </c>
      <c r="I12" s="2">
        <f>E12*0.02</f>
        <v/>
      </c>
      <c r="J12" s="2">
        <f>SUM(F12:I12)</f>
        <v/>
      </c>
      <c r="K12" s="2">
        <f>E12-J12</f>
        <v/>
      </c>
      <c r="L12" s="2">
        <f>L11+K12</f>
        <v/>
      </c>
    </row>
    <row r="13">
      <c r="A13" t="inlineStr">
        <is>
          <t>M12</t>
        </is>
      </c>
      <c r="B13" t="n">
        <v>30</v>
      </c>
      <c r="C13">
        <f>B13*Unit_Economics!$B$6</f>
        <v/>
      </c>
      <c r="D13" t="n">
        <v>120</v>
      </c>
      <c r="E13" s="2">
        <f>MIN(B13*Unit_Economics!$B$4,MAX(0,C13-B13*Unit_Economics!$B$3)*Unit_Economics!$B$2)</f>
        <v/>
      </c>
      <c r="F13" s="2" t="n">
        <v>1200</v>
      </c>
      <c r="G13" s="2" t="n">
        <v>500</v>
      </c>
      <c r="H13" s="2" t="n">
        <v>350</v>
      </c>
      <c r="I13" s="2">
        <f>E13*0.02</f>
        <v/>
      </c>
      <c r="J13" s="2">
        <f>SUM(F13:I13)</f>
        <v/>
      </c>
      <c r="K13" s="2">
        <f>E13-J13</f>
        <v/>
      </c>
      <c r="L13" s="2">
        <f>L12+K13</f>
        <v/>
      </c>
    </row>
    <row r="15">
      <c r="A15" t="inlineStr">
        <is>
          <t>Příjmy = (aktivní klienti − 3 zdarma × platící trenéři) × 49 Kč, nejvýš strop 1 490 Kč na trenéra. Psovodi bez trenéra jsou zdarma, sloupec ukazuje zájem, ze kterého přicházejí trenéři. Bez práce týmu (výpočet po konzultaci s Honzou). E-maily (pozvánky, obnova hesla, F-48) do M07 v bezplatném tarifu e-mailové služby, od M08 placený tarif ve sloupci Notifikace.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Martin Indra</dc:creator>
  <dcterms:created xmlns:dcterms="http://purl.org/dc/terms/" xmlns:xsi="http://www.w3.org/2001/XMLSchema-instance" xsi:type="dcterms:W3CDTF">2026-10-07T15:31:26Z</dcterms:created>
  <dcterms:modified xmlns:dcterms="http://purl.org/dc/terms/" xmlns:xsi="http://www.w3.org/2001/XMLSchema-instance" xsi:type="dcterms:W3CDTF">2026-10-09T15:09:39Z</dcterms:modified>
  <cp:lastModifiedBy>Martin Indra</cp:lastModifiedBy>
</cp:coreProperties>
</file>