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50" yWindow="1950" windowWidth="21600" windowHeight="11295" tabRatio="600" firstSheet="0" activeTab="0" autoFilterDateGrouping="1"/>
  </bookViews>
  <sheets>
    <sheet name="Unit_Economics" sheetId="1" state="visible" r:id="rId1"/>
    <sheet name="CAPEX" sheetId="2" state="visible" r:id="rId2"/>
    <sheet name="Cashflow_12M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\ [$Kč-405]_-;\-* #,##0.00\ [$Kč-405]_-;_-* &quot;-&quot;??\ [$Kč-405]_-;_-@_-"/>
  </numFmts>
  <fonts count="2">
    <font>
      <name val="Aptos Narrow"/>
      <charset val="238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9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tabSelected="1" workbookViewId="0">
      <selection activeCell="C12" sqref="C12"/>
    </sheetView>
  </sheetViews>
  <sheetFormatPr baseColWidth="8" defaultRowHeight="15"/>
  <cols>
    <col width="33.140625" bestFit="1" customWidth="1" min="2" max="2"/>
    <col width="15.7109375" bestFit="1" customWidth="1" min="3" max="3"/>
    <col width="13.140625" bestFit="1" customWidth="1" min="4" max="4"/>
    <col width="13.28515625" bestFit="1" customWidth="1" min="5" max="5"/>
    <col width="10.42578125" bestFit="1" customWidth="1" min="6" max="6"/>
  </cols>
  <sheetData>
    <row r="1">
      <c r="A1" s="3" t="inlineStr">
        <is>
          <t>ID</t>
        </is>
      </c>
      <c r="B1" s="3" t="inlineStr">
        <is>
          <t>Tarif</t>
        </is>
      </c>
      <c r="C1" s="3" t="inlineStr">
        <is>
          <t>Cena_Mesic_CZK</t>
        </is>
      </c>
      <c r="D1" s="3" t="inlineStr">
        <is>
          <t>Kapacita_Psu</t>
        </is>
      </c>
      <c r="E1" s="3" t="inlineStr">
        <is>
          <t>Podil_Treneru</t>
        </is>
      </c>
      <c r="F1" s="3" t="inlineStr">
        <is>
          <t>Vynos_CZK</t>
        </is>
      </c>
    </row>
    <row r="2">
      <c r="A2" t="inlineStr">
        <is>
          <t>T1</t>
        </is>
      </c>
      <c r="B2" t="inlineStr">
        <is>
          <t>Solo trenér</t>
        </is>
      </c>
      <c r="C2" t="n">
        <v>490</v>
      </c>
      <c r="D2" t="inlineStr">
        <is>
          <t>do 15 psů</t>
        </is>
      </c>
      <c r="E2" s="1" t="n">
        <v>0.7</v>
      </c>
      <c r="F2">
        <f>C2*E2</f>
        <v/>
      </c>
    </row>
    <row r="3">
      <c r="A3" t="inlineStr">
        <is>
          <t>T2</t>
        </is>
      </c>
      <c r="B3" t="inlineStr">
        <is>
          <t>Psí škola / Pro</t>
        </is>
      </c>
      <c r="C3" t="n">
        <v>990</v>
      </c>
      <c r="D3" t="inlineStr">
        <is>
          <t>neomezeně</t>
        </is>
      </c>
      <c r="E3" s="1" t="n">
        <v>0.3</v>
      </c>
      <c r="F3">
        <f>C3*E3</f>
        <v/>
      </c>
    </row>
    <row r="4">
      <c r="A4" t="inlineStr">
        <is>
          <t>T3</t>
        </is>
      </c>
      <c r="B4" t="inlineStr">
        <is>
          <t>Psovod (klient)</t>
        </is>
      </c>
      <c r="C4" t="n">
        <v>0</v>
      </c>
      <c r="D4" t="inlineStr">
        <is>
          <t>více psů (pod trenérem)</t>
        </is>
      </c>
      <c r="E4" s="1" t="n">
        <v>0</v>
      </c>
      <c r="F4">
        <f>C4*E4</f>
        <v/>
      </c>
    </row>
    <row r="5">
      <c r="A5" t="inlineStr">
        <is>
          <t>ARPU</t>
        </is>
      </c>
      <c r="B5" t="inlineStr">
        <is>
          <t>Průměrný měsíční příjem na trenéra</t>
        </is>
      </c>
      <c r="E5" s="1" t="n">
        <v>1</v>
      </c>
      <c r="F5">
        <f>SUM(F2:F4)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D6" sqref="D6"/>
    </sheetView>
  </sheetViews>
  <sheetFormatPr baseColWidth="8" defaultRowHeight="15"/>
  <cols>
    <col width="24.42578125" bestFit="1" customWidth="1" min="1" max="1"/>
    <col width="25" bestFit="1" customWidth="1" min="2" max="2"/>
    <col width="20.140625" bestFit="1" customWidth="1" min="3" max="3"/>
    <col width="11.140625" bestFit="1" customWidth="1" min="4" max="4"/>
    <col width="27.28515625" bestFit="1" customWidth="1" min="5" max="5"/>
  </cols>
  <sheetData>
    <row r="1">
      <c r="A1" s="3" t="inlineStr">
        <is>
          <t>Polozka</t>
        </is>
      </c>
      <c r="B1" s="3" t="inlineStr">
        <is>
          <t>Poskytovatel</t>
        </is>
      </c>
      <c r="C1" s="3" t="inlineStr">
        <is>
          <t>Typ_Platby</t>
        </is>
      </c>
      <c r="D1" s="3" t="inlineStr">
        <is>
          <t>Castka_CZK</t>
        </is>
      </c>
      <c r="E1" s="3" t="inlineStr">
        <is>
          <t>Poznamka</t>
        </is>
      </c>
    </row>
    <row r="2">
      <c r="A2" t="inlineStr">
        <is>
          <t>Apple Developer Program</t>
        </is>
      </c>
      <c r="B2" t="inlineStr">
        <is>
          <t>Apple Inc.</t>
        </is>
      </c>
      <c r="C2" t="inlineStr">
        <is>
          <t>Roční poplatek</t>
        </is>
      </c>
      <c r="D2" t="n">
        <v>0</v>
      </c>
      <c r="E2" t="inlineStr">
        <is>
          <t>Není potřeba pro responzivní webapp (výhledově pro nativní appku)</t>
        </is>
      </c>
    </row>
    <row r="3">
      <c r="A3" t="inlineStr">
        <is>
          <t>Google Play Console</t>
        </is>
      </c>
      <c r="B3" t="inlineStr">
        <is>
          <t>Google LLC</t>
        </is>
      </c>
      <c r="C3" t="inlineStr">
        <is>
          <t>Jednorázový poplatek</t>
        </is>
      </c>
      <c r="D3" t="n">
        <v>0</v>
      </c>
      <c r="E3" t="inlineStr">
        <is>
          <t>Není potřeba pro responzivní webapp (výhledově pro nativní appku)</t>
        </is>
      </c>
    </row>
    <row r="4">
      <c r="A4" t="inlineStr">
        <is>
          <t>Doména a DNS (.cz / .app)</t>
        </is>
      </c>
      <c r="B4" t="inlineStr">
        <is>
          <t>Wedos / Cloudflare</t>
        </is>
      </c>
      <c r="C4" t="inlineStr">
        <is>
          <t>Roční poplatek</t>
        </is>
      </c>
      <c r="D4" t="n">
        <v>400</v>
      </c>
      <c r="E4" t="inlineStr">
        <is>
          <t>Včetně základního SSL</t>
        </is>
      </c>
    </row>
    <row r="5">
      <c r="A5" t="inlineStr">
        <is>
          <t>VOP a GDPR šablony</t>
        </is>
      </c>
      <c r="B5" t="inlineStr">
        <is>
          <t>Open-source / Vzor</t>
        </is>
      </c>
      <c r="C5" t="inlineStr">
        <is>
          <t>Jednorázově</t>
        </is>
      </c>
      <c r="D5" t="n">
        <v>0</v>
      </c>
      <c r="E5" t="inlineStr">
        <is>
          <t>Studentský pilot</t>
        </is>
      </c>
    </row>
    <row r="6">
      <c r="A6" t="inlineStr">
        <is>
          <t>CELKEM_CAPEX</t>
        </is>
      </c>
      <c r="B6" t="inlineStr">
        <is>
          <t>Počáteční investice celkem</t>
        </is>
      </c>
      <c r="D6">
        <f>SUM(D2:D5)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E2" sqref="E2"/>
    </sheetView>
  </sheetViews>
  <sheetFormatPr baseColWidth="8" defaultRowHeight="15"/>
  <cols>
    <col width="13.7109375" bestFit="1" customWidth="1" min="2" max="2"/>
    <col width="10.42578125" bestFit="1" customWidth="1" min="3" max="3"/>
    <col width="26" bestFit="1" customWidth="1" style="2" min="4" max="4"/>
    <col width="12" bestFit="1" customWidth="1" style="2" min="5" max="5"/>
    <col width="12.7109375" bestFit="1" customWidth="1" style="2" min="6" max="6"/>
    <col width="10.5703125" bestFit="1" customWidth="1" style="2" min="7" max="7"/>
    <col width="14.7109375" bestFit="1" customWidth="1" style="2" min="8" max="8"/>
    <col width="13.28515625" bestFit="1" customWidth="1" style="2" min="9" max="9"/>
    <col width="13.140625" bestFit="1" customWidth="1" style="2" min="10" max="10"/>
    <col width="21" bestFit="1" customWidth="1" style="2" min="11" max="11"/>
  </cols>
  <sheetData>
    <row r="1">
      <c r="A1" s="3" t="inlineStr">
        <is>
          <t>Mesic</t>
        </is>
      </c>
      <c r="B1" s="3" t="inlineStr">
        <is>
          <t>Platici_Treneri</t>
        </is>
      </c>
      <c r="C1" s="3" t="inlineStr">
        <is>
          <t>Aktivni_Psi</t>
        </is>
      </c>
      <c r="D1" s="4" t="inlineStr">
        <is>
          <t>Prijmy_Celkem</t>
        </is>
      </c>
      <c r="E1" s="4" t="inlineStr">
        <is>
          <t>Server_DB</t>
        </is>
      </c>
      <c r="F1" s="4" t="inlineStr">
        <is>
          <t>Frontend_API</t>
        </is>
      </c>
      <c r="G1" s="4" t="inlineStr">
        <is>
          <t>Notifikace</t>
        </is>
      </c>
      <c r="H1" s="4" t="inlineStr">
        <is>
          <t>Poplatky_Brany</t>
        </is>
      </c>
      <c r="I1" s="4" t="inlineStr">
        <is>
          <t>OPEX_Celkem</t>
        </is>
      </c>
      <c r="J1" s="4" t="inlineStr">
        <is>
          <t>Mesicni_Zisk</t>
        </is>
      </c>
      <c r="K1" s="4" t="inlineStr">
        <is>
          <t>Kumulativni_Cashflow</t>
        </is>
      </c>
    </row>
    <row r="2">
      <c r="A2" t="inlineStr">
        <is>
          <t>M01</t>
        </is>
      </c>
      <c r="B2" t="n">
        <v>0</v>
      </c>
      <c r="C2" t="n">
        <v>15</v>
      </c>
      <c r="D2" s="2">
        <f>B2*Unit_Economics!$F$5</f>
        <v/>
      </c>
      <c r="E2" s="2" t="n">
        <v>0</v>
      </c>
      <c r="F2" s="2" t="n">
        <v>0</v>
      </c>
      <c r="G2" s="2" t="n">
        <v>0</v>
      </c>
      <c r="H2" s="2">
        <f>D2*0.02</f>
        <v/>
      </c>
      <c r="I2" s="2">
        <f>SUM(E2:H2)</f>
        <v/>
      </c>
      <c r="J2" s="2">
        <f>D2-I2</f>
        <v/>
      </c>
      <c r="K2" s="2">
        <f>-CAPEX!$D$6+J2</f>
        <v/>
      </c>
    </row>
    <row r="3">
      <c r="A3" t="inlineStr">
        <is>
          <t>M02</t>
        </is>
      </c>
      <c r="B3" t="n">
        <v>0</v>
      </c>
      <c r="C3" t="n">
        <v>25</v>
      </c>
      <c r="D3" s="2">
        <f>B3*Unit_Economics!$F$5</f>
        <v/>
      </c>
      <c r="E3" s="2" t="n">
        <v>0</v>
      </c>
      <c r="F3" s="2" t="n">
        <v>0</v>
      </c>
      <c r="G3" s="2" t="n">
        <v>0</v>
      </c>
      <c r="H3" s="2">
        <f>D3*0.02</f>
        <v/>
      </c>
      <c r="I3" s="2">
        <f>SUM(E3:H3)</f>
        <v/>
      </c>
      <c r="J3" s="2">
        <f>D3-I3</f>
        <v/>
      </c>
      <c r="K3" s="2">
        <f>K2+J3</f>
        <v/>
      </c>
    </row>
    <row r="4">
      <c r="A4" t="inlineStr">
        <is>
          <t>M03</t>
        </is>
      </c>
      <c r="B4" t="n">
        <v>0</v>
      </c>
      <c r="C4" t="n">
        <v>35</v>
      </c>
      <c r="D4" s="2">
        <f>B4*Unit_Economics!$F$5</f>
        <v/>
      </c>
      <c r="E4" s="2" t="n">
        <v>0</v>
      </c>
      <c r="F4" s="2" t="n">
        <v>0</v>
      </c>
      <c r="G4" s="2" t="n">
        <v>0</v>
      </c>
      <c r="H4" s="2">
        <f>D4*0.02</f>
        <v/>
      </c>
      <c r="I4" s="2">
        <f>SUM(E4:H4)</f>
        <v/>
      </c>
      <c r="J4" s="2">
        <f>D4-I4</f>
        <v/>
      </c>
      <c r="K4" s="2">
        <f>K3+J4</f>
        <v/>
      </c>
    </row>
    <row r="5">
      <c r="A5" t="inlineStr">
        <is>
          <t>M04</t>
        </is>
      </c>
      <c r="B5" t="n">
        <v>3</v>
      </c>
      <c r="C5" t="n">
        <v>45</v>
      </c>
      <c r="D5" s="2">
        <f>B5*Unit_Economics!$F$5</f>
        <v/>
      </c>
      <c r="E5" s="2" t="n">
        <v>600</v>
      </c>
      <c r="F5" s="2" t="n">
        <v>0</v>
      </c>
      <c r="G5" s="2" t="n">
        <v>0</v>
      </c>
      <c r="H5" s="2">
        <f>D5*0.02</f>
        <v/>
      </c>
      <c r="I5" s="2">
        <f>SUM(E5:H5)</f>
        <v/>
      </c>
      <c r="J5" s="2">
        <f>D5-I5</f>
        <v/>
      </c>
      <c r="K5" s="2">
        <f>K4+J5</f>
        <v/>
      </c>
    </row>
    <row r="6">
      <c r="A6" t="inlineStr">
        <is>
          <t>M05</t>
        </is>
      </c>
      <c r="B6" t="n">
        <v>6</v>
      </c>
      <c r="C6" t="n">
        <v>70</v>
      </c>
      <c r="D6" s="2">
        <f>B6*Unit_Economics!$F$5</f>
        <v/>
      </c>
      <c r="E6" s="2" t="n">
        <v>600</v>
      </c>
      <c r="F6" s="2" t="n">
        <v>0</v>
      </c>
      <c r="G6" s="2" t="n">
        <v>0</v>
      </c>
      <c r="H6" s="2">
        <f>D6*0.02</f>
        <v/>
      </c>
      <c r="I6" s="2">
        <f>SUM(E6:H6)</f>
        <v/>
      </c>
      <c r="J6" s="2">
        <f>D6-I6</f>
        <v/>
      </c>
      <c r="K6" s="2">
        <f>K5+J6</f>
        <v/>
      </c>
    </row>
    <row r="7">
      <c r="A7" t="inlineStr">
        <is>
          <t>M06</t>
        </is>
      </c>
      <c r="B7" t="n">
        <v>10</v>
      </c>
      <c r="C7" t="n">
        <v>110</v>
      </c>
      <c r="D7" s="2">
        <f>B7*Unit_Economics!$F$5</f>
        <v/>
      </c>
      <c r="E7" s="2" t="n">
        <v>600</v>
      </c>
      <c r="F7" s="2" t="n">
        <v>0</v>
      </c>
      <c r="G7" s="2" t="n">
        <v>0</v>
      </c>
      <c r="H7" s="2">
        <f>D7*0.02</f>
        <v/>
      </c>
      <c r="I7" s="2">
        <f>SUM(E7:H7)</f>
        <v/>
      </c>
      <c r="J7" s="2">
        <f>D7-I7</f>
        <v/>
      </c>
      <c r="K7" s="2">
        <f>K6+J7</f>
        <v/>
      </c>
    </row>
    <row r="8">
      <c r="A8" t="inlineStr">
        <is>
          <t>M07</t>
        </is>
      </c>
      <c r="B8" t="n">
        <v>13</v>
      </c>
      <c r="C8" t="n">
        <v>140</v>
      </c>
      <c r="D8" s="2">
        <f>B8*Unit_Economics!$F$5</f>
        <v/>
      </c>
      <c r="E8" s="2" t="n">
        <v>600</v>
      </c>
      <c r="F8" s="2" t="n">
        <v>0</v>
      </c>
      <c r="G8" s="2" t="n">
        <v>0</v>
      </c>
      <c r="H8" s="2">
        <f>D8*0.02</f>
        <v/>
      </c>
      <c r="I8" s="2">
        <f>SUM(E8:H8)</f>
        <v/>
      </c>
      <c r="J8" s="2">
        <f>D8-I8</f>
        <v/>
      </c>
      <c r="K8" s="2">
        <f>K7+J8</f>
        <v/>
      </c>
    </row>
    <row r="9">
      <c r="A9" t="inlineStr">
        <is>
          <t>M08</t>
        </is>
      </c>
      <c r="B9" t="n">
        <v>16</v>
      </c>
      <c r="C9" t="n">
        <v>180</v>
      </c>
      <c r="D9" s="2">
        <f>B9*Unit_Economics!$F$5</f>
        <v/>
      </c>
      <c r="E9" s="2" t="n">
        <v>1200</v>
      </c>
      <c r="F9" s="2" t="n">
        <v>500</v>
      </c>
      <c r="G9" s="2" t="n">
        <v>350</v>
      </c>
      <c r="H9" s="2">
        <f>D9*0.02</f>
        <v/>
      </c>
      <c r="I9" s="2">
        <f>SUM(E9:H9)</f>
        <v/>
      </c>
      <c r="J9" s="2">
        <f>D9-I9</f>
        <v/>
      </c>
      <c r="K9" s="2">
        <f>K8+J9</f>
        <v/>
      </c>
    </row>
    <row r="10">
      <c r="A10" t="inlineStr">
        <is>
          <t>M09</t>
        </is>
      </c>
      <c r="B10" t="n">
        <v>20</v>
      </c>
      <c r="C10" t="n">
        <v>230</v>
      </c>
      <c r="D10" s="2">
        <f>B10*Unit_Economics!$F$5</f>
        <v/>
      </c>
      <c r="E10" s="2" t="n">
        <v>1200</v>
      </c>
      <c r="F10" s="2" t="n">
        <v>500</v>
      </c>
      <c r="G10" s="2" t="n">
        <v>350</v>
      </c>
      <c r="H10" s="2">
        <f>D10*0.02</f>
        <v/>
      </c>
      <c r="I10" s="2">
        <f>SUM(E10:H10)</f>
        <v/>
      </c>
      <c r="J10" s="2">
        <f>D10-I10</f>
        <v/>
      </c>
      <c r="K10" s="2">
        <f>K9+J10</f>
        <v/>
      </c>
    </row>
    <row r="11">
      <c r="A11" t="inlineStr">
        <is>
          <t>M10</t>
        </is>
      </c>
      <c r="B11" t="n">
        <v>23</v>
      </c>
      <c r="C11" t="n">
        <v>270</v>
      </c>
      <c r="D11" s="2">
        <f>B11*Unit_Economics!$F$5</f>
        <v/>
      </c>
      <c r="E11" s="2" t="n">
        <v>1200</v>
      </c>
      <c r="F11" s="2" t="n">
        <v>500</v>
      </c>
      <c r="G11" s="2" t="n">
        <v>350</v>
      </c>
      <c r="H11" s="2">
        <f>D11*0.02</f>
        <v/>
      </c>
      <c r="I11" s="2">
        <f>SUM(E11:H11)</f>
        <v/>
      </c>
      <c r="J11" s="2">
        <f>D11-I11</f>
        <v/>
      </c>
      <c r="K11" s="2">
        <f>K10+J11</f>
        <v/>
      </c>
    </row>
    <row r="12">
      <c r="A12" t="inlineStr">
        <is>
          <t>M11</t>
        </is>
      </c>
      <c r="B12" t="n">
        <v>26</v>
      </c>
      <c r="C12" t="n">
        <v>320</v>
      </c>
      <c r="D12" s="2">
        <f>B12*Unit_Economics!$F$5</f>
        <v/>
      </c>
      <c r="E12" s="2" t="n">
        <v>1200</v>
      </c>
      <c r="F12" s="2" t="n">
        <v>500</v>
      </c>
      <c r="G12" s="2" t="n">
        <v>350</v>
      </c>
      <c r="H12" s="2">
        <f>D12*0.02</f>
        <v/>
      </c>
      <c r="I12" s="2">
        <f>SUM(E12:H12)</f>
        <v/>
      </c>
      <c r="J12" s="2">
        <f>D12-I12</f>
        <v/>
      </c>
      <c r="K12" s="2">
        <f>K11+J12</f>
        <v/>
      </c>
    </row>
    <row r="13">
      <c r="A13" t="inlineStr">
        <is>
          <t>M12</t>
        </is>
      </c>
      <c r="B13" t="n">
        <v>30</v>
      </c>
      <c r="C13" t="n">
        <v>380</v>
      </c>
      <c r="D13" s="2">
        <f>B13*Unit_Economics!$F$5</f>
        <v/>
      </c>
      <c r="E13" s="2" t="n">
        <v>1200</v>
      </c>
      <c r="F13" s="2" t="n">
        <v>500</v>
      </c>
      <c r="G13" s="2" t="n">
        <v>350</v>
      </c>
      <c r="H13" s="2">
        <f>D13*0.02</f>
        <v/>
      </c>
      <c r="I13" s="2">
        <f>SUM(E13:H13)</f>
        <v/>
      </c>
      <c r="J13" s="2">
        <f>D13-I13</f>
        <v/>
      </c>
      <c r="K13" s="2">
        <f>K12+J13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Martin Indra</dc:creator>
  <dcterms:created xsi:type="dcterms:W3CDTF">2026-10-07T15:31:26Z</dcterms:created>
  <dcterms:modified xsi:type="dcterms:W3CDTF">2026-10-09T07:43:33Z</dcterms:modified>
  <cp:lastModifiedBy>Martin Indra</cp:lastModifiedBy>
</cp:coreProperties>
</file>